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picer\Desktop\Weekly Cal Checks\"/>
    </mc:Choice>
  </mc:AlternateContent>
  <bookViews>
    <workbookView xWindow="0" yWindow="0" windowWidth="20490" windowHeight="7755"/>
  </bookViews>
  <sheets>
    <sheet name="Check Sheet" sheetId="1" r:id="rId1"/>
    <sheet name="Limit Verification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AJ92" i="1" l="1"/>
  <c r="AJ94" i="1"/>
  <c r="V15" i="2" l="1"/>
  <c r="V13" i="2"/>
  <c r="AE46" i="1"/>
  <c r="V19" i="2" s="1"/>
  <c r="Y36" i="1"/>
  <c r="V7" i="2" s="1"/>
  <c r="Y34" i="1"/>
  <c r="V9" i="2" s="1"/>
  <c r="V17" i="2" l="1"/>
  <c r="V11" i="2"/>
  <c r="V5" i="2"/>
  <c r="AD41" i="1"/>
  <c r="A46" i="1"/>
  <c r="AK7" i="1"/>
  <c r="AK9" i="1" l="1"/>
  <c r="AJ34" i="1" l="1"/>
  <c r="D41" i="1"/>
  <c r="Q51" i="1"/>
  <c r="Q41" i="1" l="1"/>
</calcChain>
</file>

<file path=xl/comments1.xml><?xml version="1.0" encoding="utf-8"?>
<comments xmlns="http://schemas.openxmlformats.org/spreadsheetml/2006/main">
  <authors>
    <author>Help Desk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>Red comment flags provide useful information throughout form.</t>
        </r>
      </text>
    </comment>
    <comment ref="AK7" authorId="0" shapeId="0">
      <text>
        <r>
          <rPr>
            <b/>
            <u/>
            <sz val="8"/>
            <color indexed="81"/>
            <rFont val="Tahoma"/>
            <family val="2"/>
          </rPr>
          <t>Week Of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u/>
            <sz val="8"/>
            <color indexed="81"/>
            <rFont val="Tahoma"/>
            <family val="2"/>
          </rPr>
          <t>Day of Week</t>
        </r>
        <r>
          <rPr>
            <sz val="8"/>
            <color indexed="81"/>
            <rFont val="Tahoma"/>
            <family val="2"/>
          </rPr>
          <t xml:space="preserve">  auto-populate once 
</t>
        </r>
        <r>
          <rPr>
            <b/>
            <u/>
            <sz val="8"/>
            <color indexed="12"/>
            <rFont val="Tahoma"/>
            <family val="2"/>
          </rPr>
          <t>Date of Testing</t>
        </r>
        <r>
          <rPr>
            <sz val="8"/>
            <color indexed="81"/>
            <rFont val="Tahoma"/>
            <family val="2"/>
          </rPr>
          <t xml:space="preserve">  cell filled in.
 Note: week defined as starting on Sunday and ending on Saturday. 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 xml:space="preserve">note: can press  </t>
        </r>
        <r>
          <rPr>
            <b/>
            <sz val="8"/>
            <color indexed="81"/>
            <rFont val="Tahoma"/>
            <family val="2"/>
          </rPr>
          <t xml:space="preserve">CNTRL </t>
        </r>
        <r>
          <rPr>
            <b/>
            <sz val="11"/>
            <color indexed="81"/>
            <rFont val="Tahoma"/>
            <family val="2"/>
          </rPr>
          <t>;</t>
        </r>
        <r>
          <rPr>
            <b/>
            <sz val="8"/>
            <color indexed="81"/>
            <rFont val="Tahoma"/>
            <family val="2"/>
          </rPr>
          <t xml:space="preserve">  </t>
        </r>
        <r>
          <rPr>
            <sz val="8"/>
            <color indexed="81"/>
            <rFont val="Tahoma"/>
            <family val="2"/>
          </rPr>
          <t>simultaneously
 to enter current date in a cell.</t>
        </r>
      </text>
    </comment>
    <comment ref="A18" authorId="0" shapeId="0">
      <text>
        <r>
          <rPr>
            <sz val="8"/>
            <color indexed="81"/>
            <rFont val="Tahoma"/>
            <family val="2"/>
          </rPr>
          <t>Completed minimum once 
every 6 months.See QA 
manual section 8.3.0 for
other instances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Completed minimum once per quarter. See QA manual sections 8.2.0 for other instances.</t>
        </r>
      </text>
    </comment>
    <comment ref="Q29" authorId="0" shapeId="0">
      <text>
        <r>
          <rPr>
            <sz val="8"/>
            <color indexed="81"/>
            <rFont val="Tahoma"/>
            <family val="2"/>
          </rPr>
          <t>Completed minimum once per week. Refer to QA manual section 8.1.4.B .</t>
        </r>
      </text>
    </comment>
    <comment ref="AJ34" authorId="0" shapeId="0">
      <text>
        <r>
          <rPr>
            <sz val="8"/>
            <color indexed="81"/>
            <rFont val="Tahoma"/>
            <family val="2"/>
          </rPr>
          <t xml:space="preserve">If blank be certain </t>
        </r>
        <r>
          <rPr>
            <b/>
            <u/>
            <sz val="8"/>
            <color indexed="12"/>
            <rFont val="Tahoma"/>
            <family val="2"/>
          </rPr>
          <t>Date of Testing</t>
        </r>
        <r>
          <rPr>
            <sz val="8"/>
            <color indexed="81"/>
            <rFont val="Tahoma"/>
            <family val="2"/>
          </rPr>
          <t xml:space="preserve"> and all</t>
        </r>
        <r>
          <rPr>
            <b/>
            <sz val="8"/>
            <color indexed="81"/>
            <rFont val="Tahoma"/>
            <family val="2"/>
          </rPr>
          <t xml:space="preserve"> Instrument Response</t>
        </r>
        <r>
          <rPr>
            <sz val="8"/>
            <color indexed="81"/>
            <rFont val="Tahoma"/>
            <family val="2"/>
          </rPr>
          <t xml:space="preserve"> boxes are filled. </t>
        </r>
      </text>
    </comment>
    <comment ref="Q43" authorId="0" shapeId="0">
      <text>
        <r>
          <rPr>
            <sz val="8"/>
            <color indexed="81"/>
            <rFont val="Tahoma"/>
            <family val="2"/>
          </rPr>
          <t>Completed minimum once
every 2 weeks. Reference:
QA manual section 8.4.0</t>
        </r>
      </text>
    </comment>
    <comment ref="AJ46" authorId="0" shapeId="0">
      <text>
        <r>
          <rPr>
            <sz val="8"/>
            <color indexed="81"/>
            <rFont val="Tahoma"/>
            <family val="2"/>
          </rPr>
          <t xml:space="preserve">Enter date manually. Note: can press  </t>
        </r>
        <r>
          <rPr>
            <b/>
            <sz val="8"/>
            <color indexed="81"/>
            <rFont val="Tahoma"/>
            <family val="2"/>
          </rPr>
          <t xml:space="preserve">CNTRL </t>
        </r>
        <r>
          <rPr>
            <b/>
            <sz val="11"/>
            <color indexed="81"/>
            <rFont val="Tahoma"/>
            <family val="2"/>
          </rPr>
          <t>;</t>
        </r>
        <r>
          <rPr>
            <sz val="8"/>
            <color indexed="81"/>
            <rFont val="Tahoma"/>
            <family val="2"/>
          </rPr>
          <t xml:space="preserve">  simultaneously to enter current date in this cell.</t>
        </r>
      </text>
    </comment>
    <comment ref="AL92" authorId="0" shapeId="0">
      <text>
        <r>
          <rPr>
            <sz val="8"/>
            <color indexed="81"/>
            <rFont val="Arial"/>
            <family val="2"/>
          </rPr>
          <t>Enter Value in Celsius or Fahrenheit.</t>
        </r>
      </text>
    </comment>
    <comment ref="AL94" authorId="0" shapeId="0">
      <text>
        <r>
          <rPr>
            <sz val="8"/>
            <color indexed="81"/>
            <rFont val="Arial"/>
            <family val="2"/>
          </rPr>
          <t>Enter value in mmHg or inHg.</t>
        </r>
      </text>
    </comment>
  </commentList>
</comments>
</file>

<file path=xl/sharedStrings.xml><?xml version="1.0" encoding="utf-8"?>
<sst xmlns="http://schemas.openxmlformats.org/spreadsheetml/2006/main" count="174" uniqueCount="142">
  <si>
    <t>New York State Department Of Environmental Conservation</t>
  </si>
  <si>
    <t xml:space="preserve">Station:  </t>
  </si>
  <si>
    <t>Station #:</t>
  </si>
  <si>
    <t xml:space="preserve"> Operator: </t>
  </si>
  <si>
    <t>Performed By:</t>
  </si>
  <si>
    <t>Reviewed By:</t>
  </si>
  <si>
    <t>Pressure</t>
  </si>
  <si>
    <t>Flow</t>
  </si>
  <si>
    <t>PMT</t>
  </si>
  <si>
    <t>Date of Testing:</t>
  </si>
  <si>
    <t>OOC:</t>
  </si>
  <si>
    <t>IC:</t>
  </si>
  <si>
    <t>hours   EST</t>
  </si>
  <si>
    <t>Weekly Check Sheet</t>
  </si>
  <si>
    <t>Model #:</t>
  </si>
  <si>
    <t>ENCON #:</t>
  </si>
  <si>
    <t>Serial #:</t>
  </si>
  <si>
    <t>Scheduled Maintenance</t>
  </si>
  <si>
    <t>Procedure</t>
  </si>
  <si>
    <t>Frequency</t>
  </si>
  <si>
    <t>Last Done</t>
  </si>
  <si>
    <t>Replace Particulate Filter</t>
  </si>
  <si>
    <t>As Needed</t>
  </si>
  <si>
    <t>Clean Cooler Fan / Fins</t>
  </si>
  <si>
    <t>Check Converter Efficiency</t>
  </si>
  <si>
    <t>Quarterly</t>
  </si>
  <si>
    <t>Every Audit or Cal.</t>
  </si>
  <si>
    <t>By:</t>
  </si>
  <si>
    <t>Last 2 Calibration Dates:</t>
  </si>
  <si>
    <t>Date</t>
  </si>
  <si>
    <t>Zero and Span Checks</t>
  </si>
  <si>
    <t>NO:</t>
  </si>
  <si>
    <t>Span</t>
  </si>
  <si>
    <t>(ppb)</t>
  </si>
  <si>
    <t>Instrument Response</t>
  </si>
  <si>
    <r>
      <t xml:space="preserve">Instrument Response  </t>
    </r>
    <r>
      <rPr>
        <i/>
        <sz val="8"/>
        <color theme="1"/>
        <rFont val="Arial"/>
        <family val="2"/>
      </rPr>
      <t>(taken from Data Logger)</t>
    </r>
  </si>
  <si>
    <t>Calibrator #</t>
  </si>
  <si>
    <t>Calibrator Output</t>
  </si>
  <si>
    <t>pre -</t>
  </si>
  <si>
    <t>Post -</t>
  </si>
  <si>
    <t>mmHg</t>
  </si>
  <si>
    <t>thru</t>
  </si>
  <si>
    <t>Comments:</t>
  </si>
  <si>
    <t>Range:  NO</t>
  </si>
  <si>
    <t>ppb</t>
  </si>
  <si>
    <r>
      <t>Range:   NO</t>
    </r>
    <r>
      <rPr>
        <vertAlign val="subscript"/>
        <sz val="10"/>
        <color theme="1"/>
        <rFont val="Arial"/>
        <family val="2"/>
      </rPr>
      <t>x</t>
    </r>
  </si>
  <si>
    <r>
      <t>Range:  NO</t>
    </r>
    <r>
      <rPr>
        <vertAlign val="subscript"/>
        <sz val="9"/>
        <color theme="1"/>
        <rFont val="Arial"/>
        <family val="2"/>
      </rPr>
      <t>2</t>
    </r>
  </si>
  <si>
    <t>NO Background</t>
  </si>
  <si>
    <r>
      <t xml:space="preserve">Avg. Time </t>
    </r>
    <r>
      <rPr>
        <sz val="8"/>
        <color theme="1"/>
        <rFont val="Arial"/>
        <family val="2"/>
      </rPr>
      <t>(sec)</t>
    </r>
  </si>
  <si>
    <t>NO Coefficient</t>
  </si>
  <si>
    <t>secs</t>
  </si>
  <si>
    <t>Alarm On?</t>
  </si>
  <si>
    <r>
      <t>NO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Background</t>
    </r>
  </si>
  <si>
    <t>Ozonator On?</t>
  </si>
  <si>
    <r>
      <t>NO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Coefficient</t>
    </r>
  </si>
  <si>
    <t>PMT Supply On?</t>
  </si>
  <si>
    <r>
      <t>NO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Coefficient</t>
    </r>
  </si>
  <si>
    <t>Auto Mode On?</t>
  </si>
  <si>
    <t>Service Mode Off?</t>
  </si>
  <si>
    <t>Press. Correct On?</t>
  </si>
  <si>
    <t>Day of Week:</t>
  </si>
  <si>
    <t>Time:</t>
  </si>
  <si>
    <t>lpm</t>
  </si>
  <si>
    <t>(Y / N)</t>
  </si>
  <si>
    <t xml:space="preserve">Enter Certified QA </t>
  </si>
  <si>
    <r>
      <t xml:space="preserve">Value Here </t>
    </r>
    <r>
      <rPr>
        <sz val="10"/>
        <color theme="1"/>
        <rFont val="Calibri"/>
        <family val="2"/>
      </rPr>
      <t>↓</t>
    </r>
    <r>
      <rPr>
        <sz val="10"/>
        <color theme="1"/>
        <rFont val="Arial"/>
        <family val="2"/>
      </rPr>
      <t xml:space="preserve"> </t>
    </r>
  </si>
  <si>
    <t>Change Dryer Drierite</t>
  </si>
  <si>
    <t>Diagnostic Checks</t>
  </si>
  <si>
    <t>Shelter Temp.</t>
  </si>
  <si>
    <t>Shelter BP</t>
  </si>
  <si>
    <t>Exhaust Scrubber</t>
  </si>
  <si>
    <t>Zero**</t>
  </si>
  <si>
    <t>Week Of:</t>
  </si>
  <si>
    <t>Calibrator Certification Period:</t>
  </si>
  <si>
    <r>
      <t>Total NO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Impurity, ppb:</t>
    </r>
  </si>
  <si>
    <t>Calibrator #:</t>
  </si>
  <si>
    <t>NO Primary Tank:</t>
  </si>
  <si>
    <t>NO Concentration, ppb:</t>
  </si>
  <si>
    <t xml:space="preserve">Are analyzer diagnostics within tolerances? </t>
  </si>
  <si>
    <t>Y / N</t>
  </si>
  <si>
    <t>If no please explain in comments section.</t>
  </si>
  <si>
    <t>Diagnostic Checks and Comments on other side.</t>
  </si>
  <si>
    <t>Page 1 of 2</t>
  </si>
  <si>
    <t>Page 2 of 2</t>
  </si>
  <si>
    <t>** if Audit or Calibration dates unknown leave blank.</t>
  </si>
  <si>
    <t>Analyzer Information</t>
  </si>
  <si>
    <t>Calibrator Information</t>
  </si>
  <si>
    <t>** taken from calibrator certification sheet</t>
  </si>
  <si>
    <t xml:space="preserve">Zero** </t>
  </si>
  <si>
    <t>Date:</t>
  </si>
  <si>
    <t>{** For Zero, if step skipped then enter "N/A" in cell.}</t>
  </si>
  <si>
    <t>‡‡</t>
  </si>
  <si>
    <r>
      <t xml:space="preserve">% Diff </t>
    </r>
    <r>
      <rPr>
        <vertAlign val="superscript"/>
        <sz val="9"/>
        <color theme="1"/>
        <rFont val="Arial"/>
        <family val="2"/>
      </rPr>
      <t>‡‡</t>
    </r>
  </si>
  <si>
    <t>**Note: Refer to QA manual for guidance in the event of an exceedance.</t>
  </si>
  <si>
    <r>
      <t xml:space="preserve">NO Span Warning Limit Exceedance:  (Yes / No) </t>
    </r>
    <r>
      <rPr>
        <sz val="11"/>
        <color theme="1"/>
        <rFont val="Calibri"/>
        <family val="2"/>
      </rPr>
      <t>→</t>
    </r>
  </si>
  <si>
    <t>Verification of  QA Limit Exeedances</t>
  </si>
  <si>
    <r>
      <t xml:space="preserve">NOx Span Warning Limit Exceedance:  (Yes / No) </t>
    </r>
    <r>
      <rPr>
        <sz val="11"/>
        <color theme="1"/>
        <rFont val="Calibri"/>
        <family val="2"/>
      </rPr>
      <t>→</t>
    </r>
  </si>
  <si>
    <r>
      <t xml:space="preserve">NO Span Control Limit Exceedance:  (Yes / No) </t>
    </r>
    <r>
      <rPr>
        <sz val="11"/>
        <color theme="1"/>
        <rFont val="Calibri"/>
        <family val="2"/>
        <scheme val="minor"/>
      </rPr>
      <t>→</t>
    </r>
  </si>
  <si>
    <r>
      <t xml:space="preserve">NOx Span Control Limit Exceedance:  (Yes / No) </t>
    </r>
    <r>
      <rPr>
        <sz val="11"/>
        <color theme="1"/>
        <rFont val="Calibri"/>
        <family val="2"/>
        <scheme val="minor"/>
      </rPr>
      <t>→</t>
    </r>
  </si>
  <si>
    <r>
      <t xml:space="preserve">NO Zero Drift Exceedance:  (Yes / No)  </t>
    </r>
    <r>
      <rPr>
        <sz val="11"/>
        <color theme="1"/>
        <rFont val="Calibri"/>
        <family val="2"/>
      </rPr>
      <t>→</t>
    </r>
  </si>
  <si>
    <r>
      <t xml:space="preserve">NOx Zero Drift Exceedance:  (Yes / No)  </t>
    </r>
    <r>
      <rPr>
        <sz val="11"/>
        <color theme="1"/>
        <rFont val="Calibri"/>
        <family val="2"/>
      </rPr>
      <t>→</t>
    </r>
  </si>
  <si>
    <r>
      <t>NO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PC Warning Limit Exceedance:  (Yes / No) </t>
    </r>
    <r>
      <rPr>
        <sz val="11"/>
        <color theme="1"/>
        <rFont val="Calibri"/>
        <family val="2"/>
      </rPr>
      <t>→</t>
    </r>
  </si>
  <si>
    <r>
      <t>NO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PC Control Limit Exceedance:  (Yes / No) </t>
    </r>
    <r>
      <rPr>
        <sz val="11"/>
        <color theme="1"/>
        <rFont val="Calibri"/>
        <family val="2"/>
        <scheme val="minor"/>
      </rPr>
      <t>→</t>
    </r>
  </si>
  <si>
    <t xml:space="preserve">Last 2 Audit Dates:  </t>
  </si>
  <si>
    <r>
      <t xml:space="preserve">% Diff </t>
    </r>
    <r>
      <rPr>
        <vertAlign val="superscript"/>
        <sz val="9"/>
        <color theme="1"/>
        <rFont val="Arial"/>
        <family val="2"/>
      </rPr>
      <t>‡</t>
    </r>
  </si>
  <si>
    <t>‡</t>
  </si>
  <si>
    <r>
      <t>NO</t>
    </r>
    <r>
      <rPr>
        <b/>
        <vertAlign val="sub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 xml:space="preserve"> Precision Check</t>
    </r>
  </si>
  <si>
    <t>{ Span Limits → Warning:  ± 5 %, Control:  ± 9 % /  Zero Drift →  ± 3 ppb }</t>
  </si>
  <si>
    <t>{PC Limits → Warning:  ± 6 %, Control:  ± 10 %}</t>
  </si>
  <si>
    <t>Rev.</t>
  </si>
  <si>
    <t>Voltages</t>
  </si>
  <si>
    <t>Motherboard</t>
  </si>
  <si>
    <t>Interface</t>
  </si>
  <si>
    <t>Supply</t>
  </si>
  <si>
    <t>+ 3.3V</t>
  </si>
  <si>
    <t>O3 Flow</t>
  </si>
  <si>
    <t>+ 5.0V</t>
  </si>
  <si>
    <t>+15.0V</t>
  </si>
  <si>
    <t>13 - 15V</t>
  </si>
  <si>
    <t>- 15.0V</t>
  </si>
  <si>
    <t>24.0V</t>
  </si>
  <si>
    <t>- 3.3V</t>
  </si>
  <si>
    <t>Temp. Correct. On?</t>
  </si>
  <si>
    <t>Temperatures</t>
  </si>
  <si>
    <t>Internal</t>
  </si>
  <si>
    <t>°C</t>
  </si>
  <si>
    <t>Chamber</t>
  </si>
  <si>
    <t>Cooler</t>
  </si>
  <si>
    <r>
      <t xml:space="preserve">     Converter (325</t>
    </r>
    <r>
      <rPr>
        <sz val="12"/>
        <color theme="1"/>
        <rFont val="Arial"/>
        <family val="2"/>
      </rPr>
      <t>°)</t>
    </r>
    <r>
      <rPr>
        <sz val="10"/>
        <color theme="1"/>
        <rFont val="Arial"/>
        <family val="2"/>
      </rPr>
      <t xml:space="preserve">  </t>
    </r>
  </si>
  <si>
    <t>TEI MODEL 42iY NITRIC OXIDES ANALYZER</t>
  </si>
  <si>
    <t>NOy:</t>
  </si>
  <si>
    <t>IPN</t>
  </si>
  <si>
    <t>Pinnacle</t>
  </si>
  <si>
    <t>John B Spicer</t>
  </si>
  <si>
    <t>42i - y</t>
  </si>
  <si>
    <t>JBS</t>
  </si>
  <si>
    <t>n</t>
  </si>
  <si>
    <t>y</t>
  </si>
  <si>
    <t>ok</t>
  </si>
  <si>
    <t>T290U</t>
  </si>
  <si>
    <t xml:space="preserve"> </t>
  </si>
  <si>
    <t>CC408646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</si>
</sst>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mm/dd/yy;@"/>
    <numFmt numFmtId="165" formatCode="0.000"/>
    <numFmt numFmtId="166" formatCode="h:mm;@"/>
    <numFmt numFmtId="167" formatCode="0.0"/>
    <numFmt numFmtId="168" formatCode="0.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u/>
      <sz val="12"/>
      <color theme="1"/>
      <name val="Arial"/>
      <family val="2"/>
    </font>
    <font>
      <sz val="8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i/>
      <sz val="8"/>
      <color theme="1"/>
      <name val="Arial"/>
      <family val="2"/>
    </font>
    <font>
      <sz val="11"/>
      <color rgb="FF00B0F0"/>
      <name val="Arial"/>
      <family val="2"/>
    </font>
    <font>
      <vertAlign val="subscript"/>
      <sz val="10"/>
      <color theme="1"/>
      <name val="Arial"/>
      <family val="2"/>
    </font>
    <font>
      <vertAlign val="subscript"/>
      <sz val="9"/>
      <color theme="1"/>
      <name val="Arial"/>
      <family val="2"/>
    </font>
    <font>
      <sz val="8"/>
      <color indexed="81"/>
      <name val="Arial"/>
      <family val="2"/>
    </font>
    <font>
      <sz val="10"/>
      <color theme="1"/>
      <name val="Calibri"/>
      <family val="2"/>
    </font>
    <font>
      <sz val="9"/>
      <color rgb="FF00B0F0"/>
      <name val="Arial"/>
      <family val="2"/>
    </font>
    <font>
      <vertAlign val="subscript"/>
      <sz val="11"/>
      <color theme="1"/>
      <name val="Arial"/>
      <family val="2"/>
    </font>
    <font>
      <u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sz val="11"/>
      <color theme="1"/>
      <name val="Calibri"/>
      <family val="2"/>
    </font>
    <font>
      <b/>
      <vertAlign val="subscript"/>
      <sz val="12"/>
      <color theme="1"/>
      <name val="Arial"/>
      <family val="2"/>
    </font>
    <font>
      <b/>
      <sz val="11"/>
      <color indexed="81"/>
      <name val="Tahoma"/>
      <family val="2"/>
    </font>
    <font>
      <b/>
      <u/>
      <sz val="8"/>
      <color indexed="81"/>
      <name val="Tahoma"/>
      <family val="2"/>
    </font>
    <font>
      <b/>
      <u/>
      <sz val="8"/>
      <color indexed="12"/>
      <name val="Tahoma"/>
      <family val="2"/>
    </font>
    <font>
      <sz val="11"/>
      <color theme="3" tint="0.39994506668294322"/>
      <name val="Arial"/>
      <family val="2"/>
    </font>
    <font>
      <b/>
      <sz val="8"/>
      <name val="Arial"/>
      <family val="2"/>
    </font>
    <font>
      <b/>
      <i/>
      <u val="double"/>
      <sz val="11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67955565050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 diagonalDown="1">
      <left/>
      <right/>
      <top style="thin">
        <color auto="1"/>
      </top>
      <bottom/>
      <diagonal style="thin">
        <color auto="1"/>
      </diagonal>
    </border>
    <border>
      <left style="double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 diagonalDown="1">
      <left/>
      <right/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93"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1" fillId="0" borderId="0" xfId="0" applyFont="1" applyFill="1" applyBorder="1"/>
    <xf numFmtId="0" fontId="1" fillId="0" borderId="0" xfId="0" applyFont="1" applyProtection="1"/>
    <xf numFmtId="0" fontId="4" fillId="0" borderId="0" xfId="0" applyFont="1" applyFill="1" applyAlignment="1" applyProtection="1">
      <alignment horizontal="left" vertical="center"/>
    </xf>
    <xf numFmtId="0" fontId="1" fillId="0" borderId="9" xfId="0" applyFont="1" applyFill="1" applyBorder="1" applyAlignment="1" applyProtection="1"/>
    <xf numFmtId="0" fontId="1" fillId="0" borderId="10" xfId="0" applyFont="1" applyFill="1" applyBorder="1"/>
    <xf numFmtId="0" fontId="0" fillId="0" borderId="0" xfId="0" applyFill="1" applyProtection="1"/>
    <xf numFmtId="0" fontId="3" fillId="0" borderId="0" xfId="0" applyFont="1" applyFill="1" applyAlignment="1" applyProtection="1">
      <alignment horizontal="center" vertical="center"/>
    </xf>
    <xf numFmtId="0" fontId="4" fillId="0" borderId="0" xfId="0" applyFont="1" applyFill="1" applyAlignment="1" applyProtection="1">
      <alignment horizontal="left" vertical="top"/>
    </xf>
    <xf numFmtId="164" fontId="4" fillId="0" borderId="0" xfId="0" applyNumberFormat="1" applyFont="1" applyFill="1" applyBorder="1" applyAlignment="1" applyProtection="1">
      <alignment vertical="center"/>
    </xf>
    <xf numFmtId="164" fontId="3" fillId="0" borderId="0" xfId="0" applyNumberFormat="1" applyFont="1" applyAlignment="1" applyProtection="1"/>
    <xf numFmtId="14" fontId="1" fillId="0" borderId="0" xfId="0" applyNumberFormat="1" applyFont="1"/>
    <xf numFmtId="0" fontId="6" fillId="0" borderId="0" xfId="0" applyFont="1" applyFill="1" applyAlignment="1" applyProtection="1">
      <alignment horizontal="left"/>
    </xf>
    <xf numFmtId="0" fontId="6" fillId="0" borderId="0" xfId="0" applyFont="1" applyFill="1" applyAlignment="1" applyProtection="1">
      <alignment horizontal="left" vertical="center"/>
    </xf>
    <xf numFmtId="164" fontId="3" fillId="0" borderId="0" xfId="0" applyNumberFormat="1" applyFont="1" applyFill="1" applyAlignment="1" applyProtection="1">
      <alignment horizontal="center"/>
    </xf>
    <xf numFmtId="164" fontId="4" fillId="0" borderId="0" xfId="0" applyNumberFormat="1" applyFont="1" applyAlignment="1"/>
    <xf numFmtId="0" fontId="1" fillId="0" borderId="0" xfId="0" applyFont="1" applyAlignment="1"/>
    <xf numFmtId="0" fontId="0" fillId="0" borderId="0" xfId="0" applyFill="1" applyBorder="1"/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Fill="1" applyBorder="1" applyAlignment="1" applyProtection="1">
      <protection locked="0"/>
    </xf>
    <xf numFmtId="0" fontId="0" fillId="0" borderId="0" xfId="0" applyBorder="1"/>
    <xf numFmtId="167" fontId="1" fillId="0" borderId="0" xfId="0" applyNumberFormat="1" applyFont="1" applyFill="1" applyBorder="1" applyAlignment="1" applyProtection="1">
      <alignment vertical="center"/>
    </xf>
    <xf numFmtId="167" fontId="1" fillId="0" borderId="0" xfId="0" applyNumberFormat="1" applyFont="1" applyFill="1" applyBorder="1" applyAlignment="1" applyProtection="1">
      <alignment vertical="center"/>
      <protection locked="0"/>
    </xf>
    <xf numFmtId="0" fontId="1" fillId="0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right"/>
    </xf>
    <xf numFmtId="0" fontId="8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" fillId="0" borderId="0" xfId="0" applyFont="1" applyFill="1" applyBorder="1" applyProtection="1"/>
    <xf numFmtId="0" fontId="8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1" fontId="1" fillId="0" borderId="0" xfId="0" applyNumberFormat="1" applyFont="1" applyFill="1" applyBorder="1" applyAlignment="1" applyProtection="1">
      <alignment vertical="center"/>
      <protection locked="0"/>
    </xf>
    <xf numFmtId="168" fontId="1" fillId="0" borderId="0" xfId="0" applyNumberFormat="1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/>
    <xf numFmtId="0" fontId="8" fillId="0" borderId="0" xfId="0" applyFont="1" applyFill="1" applyBorder="1" applyAlignment="1" applyProtection="1"/>
    <xf numFmtId="165" fontId="1" fillId="0" borderId="0" xfId="0" applyNumberFormat="1" applyFont="1" applyFill="1" applyBorder="1" applyAlignment="1" applyProtection="1">
      <alignment vertical="center"/>
      <protection locked="0"/>
    </xf>
    <xf numFmtId="0" fontId="5" fillId="0" borderId="0" xfId="0" quotePrefix="1" applyFont="1" applyFill="1" applyBorder="1" applyAlignment="1" applyProtection="1">
      <alignment vertical="center"/>
    </xf>
    <xf numFmtId="167" fontId="5" fillId="0" borderId="0" xfId="0" applyNumberFormat="1" applyFont="1" applyFill="1" applyBorder="1" applyAlignment="1" applyProtection="1">
      <alignment vertical="center"/>
    </xf>
    <xf numFmtId="168" fontId="1" fillId="0" borderId="0" xfId="0" quotePrefix="1" applyNumberFormat="1" applyFont="1" applyFill="1" applyBorder="1" applyAlignment="1" applyProtection="1">
      <alignment vertical="center"/>
      <protection locked="0"/>
    </xf>
    <xf numFmtId="16" fontId="5" fillId="0" borderId="0" xfId="0" quotePrefix="1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2" fontId="1" fillId="0" borderId="0" xfId="0" applyNumberFormat="1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/>
    <xf numFmtId="0" fontId="0" fillId="0" borderId="0" xfId="0" applyFill="1" applyBorder="1" applyAlignment="1" applyProtection="1"/>
    <xf numFmtId="0" fontId="0" fillId="0" borderId="0" xfId="0" applyProtection="1"/>
    <xf numFmtId="0" fontId="5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1" fillId="0" borderId="9" xfId="0" applyFont="1" applyFill="1" applyBorder="1" applyProtection="1"/>
    <xf numFmtId="0" fontId="2" fillId="0" borderId="9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1" fillId="0" borderId="0" xfId="0" applyFont="1" applyFill="1" applyBorder="1" applyAlignment="1" applyProtection="1"/>
    <xf numFmtId="0" fontId="1" fillId="0" borderId="0" xfId="0" applyFont="1" applyBorder="1" applyAlignment="1" applyProtection="1">
      <alignment horizontal="right"/>
    </xf>
    <xf numFmtId="164" fontId="4" fillId="0" borderId="0" xfId="0" applyNumberFormat="1" applyFont="1" applyBorder="1" applyAlignment="1" applyProtection="1">
      <alignment horizontal="center"/>
    </xf>
    <xf numFmtId="0" fontId="1" fillId="0" borderId="0" xfId="0" applyFont="1" applyFill="1" applyAlignment="1" applyProtection="1"/>
    <xf numFmtId="0" fontId="4" fillId="0" borderId="0" xfId="0" applyFont="1" applyAlignment="1" applyProtection="1"/>
    <xf numFmtId="0" fontId="7" fillId="0" borderId="0" xfId="0" applyFont="1" applyFill="1" applyBorder="1" applyAlignment="1" applyProtection="1"/>
    <xf numFmtId="166" fontId="1" fillId="0" borderId="0" xfId="0" applyNumberFormat="1" applyFont="1" applyFill="1" applyBorder="1" applyAlignment="1" applyProtection="1"/>
    <xf numFmtId="0" fontId="7" fillId="0" borderId="0" xfId="0" applyFont="1" applyFill="1" applyAlignment="1" applyProtection="1"/>
    <xf numFmtId="0" fontId="0" fillId="0" borderId="14" xfId="0" applyBorder="1" applyProtection="1"/>
    <xf numFmtId="0" fontId="2" fillId="0" borderId="14" xfId="0" applyFont="1" applyBorder="1" applyAlignment="1" applyProtection="1"/>
    <xf numFmtId="0" fontId="5" fillId="0" borderId="0" xfId="0" applyFont="1" applyAlignment="1" applyProtection="1"/>
    <xf numFmtId="0" fontId="7" fillId="0" borderId="0" xfId="0" applyFont="1" applyBorder="1" applyProtection="1"/>
    <xf numFmtId="0" fontId="7" fillId="0" borderId="1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</xf>
    <xf numFmtId="0" fontId="7" fillId="0" borderId="8" xfId="0" applyFont="1" applyBorder="1" applyAlignment="1" applyProtection="1">
      <alignment vertical="center"/>
    </xf>
    <xf numFmtId="0" fontId="7" fillId="0" borderId="5" xfId="0" applyFont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7" fillId="0" borderId="1" xfId="0" applyFont="1" applyBorder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/>
    </xf>
    <xf numFmtId="0" fontId="1" fillId="0" borderId="0" xfId="0" applyFont="1" applyFill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25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0" fontId="7" fillId="0" borderId="0" xfId="0" applyFont="1" applyBorder="1" applyAlignment="1" applyProtection="1"/>
    <xf numFmtId="0" fontId="13" fillId="0" borderId="10" xfId="0" applyFont="1" applyBorder="1" applyAlignment="1" applyProtection="1">
      <alignment horizontal="center"/>
    </xf>
    <xf numFmtId="0" fontId="7" fillId="0" borderId="31" xfId="0" applyFont="1" applyBorder="1" applyAlignment="1" applyProtection="1">
      <alignment vertical="center"/>
    </xf>
    <xf numFmtId="0" fontId="7" fillId="0" borderId="20" xfId="0" applyFont="1" applyBorder="1" applyAlignment="1" applyProtection="1">
      <alignment vertical="center"/>
    </xf>
    <xf numFmtId="0" fontId="0" fillId="0" borderId="22" xfId="0" applyBorder="1" applyProtection="1"/>
    <xf numFmtId="0" fontId="7" fillId="0" borderId="20" xfId="0" applyFont="1" applyBorder="1" applyAlignment="1" applyProtection="1"/>
    <xf numFmtId="0" fontId="7" fillId="0" borderId="24" xfId="0" applyFont="1" applyBorder="1" applyAlignment="1" applyProtection="1"/>
    <xf numFmtId="0" fontId="1" fillId="0" borderId="0" xfId="0" applyFont="1" applyFill="1" applyBorder="1" applyAlignment="1" applyProtection="1">
      <alignment vertical="center"/>
    </xf>
    <xf numFmtId="164" fontId="4" fillId="0" borderId="0" xfId="0" applyNumberFormat="1" applyFont="1" applyAlignment="1" applyProtection="1"/>
    <xf numFmtId="0" fontId="1" fillId="0" borderId="10" xfId="0" applyFont="1" applyFill="1" applyBorder="1" applyAlignment="1" applyProtection="1">
      <alignment vertical="center"/>
    </xf>
    <xf numFmtId="0" fontId="1" fillId="0" borderId="1" xfId="0" applyFont="1" applyFill="1" applyBorder="1" applyAlignment="1" applyProtection="1">
      <alignment vertical="center"/>
    </xf>
    <xf numFmtId="0" fontId="2" fillId="0" borderId="0" xfId="0" applyFont="1" applyBorder="1" applyAlignment="1" applyProtection="1"/>
    <xf numFmtId="0" fontId="2" fillId="0" borderId="10" xfId="0" applyFont="1" applyBorder="1" applyAlignment="1" applyProtection="1"/>
    <xf numFmtId="0" fontId="8" fillId="0" borderId="0" xfId="0" applyFont="1" applyAlignment="1" applyProtection="1">
      <alignment vertical="center"/>
    </xf>
    <xf numFmtId="164" fontId="1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Protection="1"/>
    <xf numFmtId="168" fontId="7" fillId="0" borderId="0" xfId="0" applyNumberFormat="1" applyFont="1" applyBorder="1" applyAlignment="1" applyProtection="1"/>
    <xf numFmtId="0" fontId="2" fillId="0" borderId="25" xfId="0" applyFont="1" applyFill="1" applyBorder="1" applyAlignment="1" applyProtection="1"/>
    <xf numFmtId="0" fontId="8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/>
    </xf>
    <xf numFmtId="2" fontId="6" fillId="0" borderId="0" xfId="0" applyNumberFormat="1" applyFont="1" applyBorder="1" applyAlignment="1" applyProtection="1"/>
    <xf numFmtId="0" fontId="6" fillId="0" borderId="0" xfId="0" applyFont="1" applyBorder="1" applyAlignment="1" applyProtection="1"/>
    <xf numFmtId="167" fontId="1" fillId="0" borderId="0" xfId="0" applyNumberFormat="1" applyFont="1" applyBorder="1" applyAlignment="1" applyProtection="1">
      <alignment vertical="center"/>
    </xf>
    <xf numFmtId="0" fontId="7" fillId="0" borderId="3" xfId="0" applyFont="1" applyBorder="1" applyAlignment="1" applyProtection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1" fillId="0" borderId="0" xfId="0" applyFont="1" applyFill="1" applyBorder="1" applyAlignment="1" applyProtection="1">
      <alignment vertical="top"/>
      <protection locked="0"/>
    </xf>
    <xf numFmtId="0" fontId="1" fillId="0" borderId="0" xfId="0" applyFont="1" applyFill="1" applyBorder="1" applyAlignment="1">
      <alignment vertical="top"/>
    </xf>
    <xf numFmtId="164" fontId="1" fillId="0" borderId="0" xfId="0" applyNumberFormat="1" applyFont="1" applyFill="1" applyBorder="1" applyAlignment="1" applyProtection="1">
      <alignment vertical="top"/>
    </xf>
    <xf numFmtId="0" fontId="1" fillId="0" borderId="0" xfId="0" applyFont="1" applyAlignment="1">
      <alignment vertical="top"/>
    </xf>
    <xf numFmtId="0" fontId="5" fillId="0" borderId="0" xfId="0" applyFont="1" applyAlignment="1" applyProtection="1">
      <alignment horizontal="center" vertical="top"/>
    </xf>
    <xf numFmtId="0" fontId="5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9" fillId="0" borderId="0" xfId="0" applyFont="1" applyAlignment="1" applyProtection="1">
      <alignment horizontal="right" vertical="center"/>
    </xf>
    <xf numFmtId="0" fontId="1" fillId="0" borderId="16" xfId="0" applyFont="1" applyBorder="1"/>
    <xf numFmtId="0" fontId="1" fillId="0" borderId="10" xfId="0" applyFont="1" applyBorder="1"/>
    <xf numFmtId="0" fontId="1" fillId="0" borderId="19" xfId="0" applyFont="1" applyBorder="1"/>
    <xf numFmtId="0" fontId="1" fillId="0" borderId="3" xfId="0" applyFont="1" applyBorder="1"/>
    <xf numFmtId="0" fontId="1" fillId="0" borderId="23" xfId="0" applyFont="1" applyBorder="1"/>
    <xf numFmtId="0" fontId="1" fillId="0" borderId="31" xfId="0" applyFont="1" applyBorder="1"/>
    <xf numFmtId="0" fontId="1" fillId="0" borderId="36" xfId="0" applyFont="1" applyBorder="1"/>
    <xf numFmtId="0" fontId="1" fillId="0" borderId="36" xfId="0" applyFont="1" applyBorder="1" applyAlignment="1"/>
    <xf numFmtId="0" fontId="1" fillId="0" borderId="24" xfId="0" applyFont="1" applyBorder="1"/>
    <xf numFmtId="0" fontId="1" fillId="0" borderId="25" xfId="0" applyFont="1" applyBorder="1"/>
    <xf numFmtId="0" fontId="1" fillId="0" borderId="28" xfId="0" applyFont="1" applyBorder="1"/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/>
    <xf numFmtId="0" fontId="12" fillId="0" borderId="0" xfId="0" applyFont="1" applyBorder="1" applyAlignment="1"/>
    <xf numFmtId="0" fontId="2" fillId="0" borderId="25" xfId="0" applyFont="1" applyBorder="1" applyAlignment="1" applyProtection="1"/>
    <xf numFmtId="0" fontId="7" fillId="0" borderId="0" xfId="0" applyFont="1" applyAlignment="1" applyProtection="1">
      <alignment vertical="center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Protection="1">
      <protection locked="0"/>
    </xf>
    <xf numFmtId="0" fontId="7" fillId="0" borderId="4" xfId="0" applyFont="1" applyBorder="1" applyAlignment="1" applyProtection="1">
      <alignment vertical="center"/>
    </xf>
    <xf numFmtId="0" fontId="0" fillId="3" borderId="0" xfId="0" applyFill="1" applyBorder="1" applyAlignment="1" applyProtection="1"/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9" fillId="0" borderId="0" xfId="0" applyFont="1" applyBorder="1" applyAlignment="1" applyProtection="1">
      <alignment vertical="center"/>
    </xf>
    <xf numFmtId="167" fontId="1" fillId="0" borderId="0" xfId="0" applyNumberFormat="1" applyFont="1" applyBorder="1" applyAlignment="1" applyProtection="1">
      <alignment vertical="center"/>
      <protection locked="0"/>
    </xf>
    <xf numFmtId="0" fontId="7" fillId="0" borderId="7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1" xfId="0" applyFont="1" applyFill="1" applyBorder="1" applyAlignment="1" applyProtection="1">
      <alignment vertical="center"/>
    </xf>
    <xf numFmtId="167" fontId="7" fillId="0" borderId="1" xfId="0" applyNumberFormat="1" applyFont="1" applyFill="1" applyBorder="1" applyAlignment="1" applyProtection="1">
      <alignment vertical="center"/>
    </xf>
    <xf numFmtId="0" fontId="7" fillId="0" borderId="7" xfId="0" applyFont="1" applyFill="1" applyBorder="1" applyAlignment="1" applyProtection="1"/>
    <xf numFmtId="0" fontId="0" fillId="3" borderId="2" xfId="0" applyFill="1" applyBorder="1" applyAlignment="1" applyProtection="1"/>
    <xf numFmtId="0" fontId="0" fillId="3" borderId="36" xfId="0" applyFill="1" applyBorder="1" applyAlignment="1" applyProtection="1"/>
    <xf numFmtId="0" fontId="0" fillId="3" borderId="27" xfId="0" applyFill="1" applyBorder="1" applyAlignment="1" applyProtection="1"/>
    <xf numFmtId="0" fontId="7" fillId="0" borderId="10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/>
      <protection locked="0"/>
    </xf>
    <xf numFmtId="1" fontId="1" fillId="0" borderId="0" xfId="0" applyNumberFormat="1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2" fillId="0" borderId="16" xfId="0" applyFont="1" applyBorder="1" applyAlignment="1" applyProtection="1">
      <alignment horizontal="center"/>
    </xf>
    <xf numFmtId="0" fontId="2" fillId="0" borderId="10" xfId="0" applyFont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1" fillId="0" borderId="19" xfId="0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 applyProtection="1">
      <alignment vertical="center"/>
      <protection locked="0"/>
    </xf>
    <xf numFmtId="0" fontId="0" fillId="0" borderId="16" xfId="0" applyFill="1" applyBorder="1" applyAlignment="1" applyProtection="1">
      <alignment vertical="center"/>
      <protection locked="0"/>
    </xf>
    <xf numFmtId="0" fontId="7" fillId="0" borderId="31" xfId="0" applyFont="1" applyBorder="1" applyAlignment="1" applyProtection="1">
      <alignment vertical="center"/>
      <protection locked="0"/>
    </xf>
    <xf numFmtId="0" fontId="2" fillId="0" borderId="17" xfId="0" applyFont="1" applyBorder="1" applyAlignment="1" applyProtection="1">
      <alignment horizontal="center"/>
    </xf>
    <xf numFmtId="0" fontId="2" fillId="0" borderId="20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/>
    </xf>
    <xf numFmtId="0" fontId="2" fillId="0" borderId="18" xfId="0" applyFont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"/>
    </xf>
    <xf numFmtId="0" fontId="2" fillId="0" borderId="21" xfId="0" applyFont="1" applyBorder="1" applyAlignment="1" applyProtection="1">
      <alignment horizontal="center"/>
    </xf>
    <xf numFmtId="0" fontId="7" fillId="0" borderId="2" xfId="0" applyFont="1" applyBorder="1" applyProtection="1"/>
    <xf numFmtId="0" fontId="7" fillId="0" borderId="3" xfId="0" applyFont="1" applyBorder="1" applyProtection="1"/>
    <xf numFmtId="0" fontId="7" fillId="0" borderId="6" xfId="0" applyFont="1" applyBorder="1" applyProtection="1"/>
    <xf numFmtId="0" fontId="7" fillId="0" borderId="1" xfId="0" applyFont="1" applyBorder="1" applyProtection="1"/>
    <xf numFmtId="0" fontId="5" fillId="0" borderId="0" xfId="0" applyFont="1" applyAlignment="1" applyProtection="1">
      <alignment horizontal="center"/>
    </xf>
    <xf numFmtId="167" fontId="1" fillId="0" borderId="13" xfId="0" applyNumberFormat="1" applyFont="1" applyBorder="1" applyAlignment="1" applyProtection="1">
      <alignment horizontal="center" vertical="center"/>
      <protection locked="0"/>
    </xf>
    <xf numFmtId="167" fontId="1" fillId="0" borderId="12" xfId="0" applyNumberFormat="1" applyFont="1" applyBorder="1" applyAlignment="1" applyProtection="1">
      <alignment horizontal="center" vertical="center"/>
      <protection locked="0"/>
    </xf>
    <xf numFmtId="167" fontId="1" fillId="0" borderId="34" xfId="0" applyNumberFormat="1" applyFont="1" applyBorder="1" applyAlignment="1" applyProtection="1">
      <alignment horizontal="center" vertical="center"/>
      <protection locked="0"/>
    </xf>
    <xf numFmtId="167" fontId="1" fillId="0" borderId="2" xfId="0" applyNumberFormat="1" applyFont="1" applyBorder="1" applyAlignment="1" applyProtection="1">
      <alignment horizontal="center" vertical="center"/>
      <protection locked="0"/>
    </xf>
    <xf numFmtId="167" fontId="1" fillId="0" borderId="3" xfId="0" applyNumberFormat="1" applyFont="1" applyBorder="1" applyAlignment="1" applyProtection="1">
      <alignment horizontal="center" vertical="center"/>
      <protection locked="0"/>
    </xf>
    <xf numFmtId="167" fontId="1" fillId="0" borderId="4" xfId="0" applyNumberFormat="1" applyFont="1" applyBorder="1" applyAlignment="1" applyProtection="1">
      <alignment horizontal="center" vertical="center"/>
      <protection locked="0"/>
    </xf>
    <xf numFmtId="167" fontId="1" fillId="0" borderId="6" xfId="0" applyNumberFormat="1" applyFont="1" applyBorder="1" applyAlignment="1" applyProtection="1">
      <alignment horizontal="center" vertical="center"/>
      <protection locked="0"/>
    </xf>
    <xf numFmtId="167" fontId="1" fillId="0" borderId="1" xfId="0" applyNumberFormat="1" applyFont="1" applyBorder="1" applyAlignment="1" applyProtection="1">
      <alignment horizontal="center" vertical="center"/>
      <protection locked="0"/>
    </xf>
    <xf numFmtId="167" fontId="1" fillId="0" borderId="5" xfId="0" applyNumberFormat="1" applyFont="1" applyBorder="1" applyAlignment="1" applyProtection="1">
      <alignment horizontal="center" vertical="center"/>
      <protection locked="0"/>
    </xf>
    <xf numFmtId="167" fontId="1" fillId="0" borderId="27" xfId="0" applyNumberFormat="1" applyFont="1" applyBorder="1" applyAlignment="1" applyProtection="1">
      <alignment horizontal="center" vertical="center"/>
      <protection locked="0"/>
    </xf>
    <xf numFmtId="167" fontId="1" fillId="0" borderId="25" xfId="0" applyNumberFormat="1" applyFont="1" applyBorder="1" applyAlignment="1" applyProtection="1">
      <alignment horizontal="center" vertical="center"/>
      <protection locked="0"/>
    </xf>
    <xf numFmtId="167" fontId="1" fillId="0" borderId="26" xfId="0" applyNumberFormat="1" applyFont="1" applyBorder="1" applyAlignment="1" applyProtection="1">
      <alignment horizontal="center" vertical="center"/>
      <protection locked="0"/>
    </xf>
    <xf numFmtId="165" fontId="1" fillId="0" borderId="2" xfId="0" applyNumberFormat="1" applyFont="1" applyBorder="1" applyAlignment="1" applyProtection="1">
      <alignment horizontal="center" vertical="center"/>
      <protection locked="0"/>
    </xf>
    <xf numFmtId="165" fontId="1" fillId="0" borderId="3" xfId="0" applyNumberFormat="1" applyFont="1" applyBorder="1" applyAlignment="1" applyProtection="1">
      <alignment horizontal="center" vertical="center"/>
      <protection locked="0"/>
    </xf>
    <xf numFmtId="165" fontId="1" fillId="0" borderId="23" xfId="0" applyNumberFormat="1" applyFont="1" applyBorder="1" applyAlignment="1" applyProtection="1">
      <alignment horizontal="center" vertical="center"/>
      <protection locked="0"/>
    </xf>
    <xf numFmtId="165" fontId="1" fillId="0" borderId="6" xfId="0" applyNumberFormat="1" applyFont="1" applyBorder="1" applyAlignment="1" applyProtection="1">
      <alignment horizontal="center" vertical="center"/>
      <protection locked="0"/>
    </xf>
    <xf numFmtId="165" fontId="1" fillId="0" borderId="1" xfId="0" applyNumberFormat="1" applyFont="1" applyBorder="1" applyAlignment="1" applyProtection="1">
      <alignment horizontal="center" vertical="center"/>
      <protection locked="0"/>
    </xf>
    <xf numFmtId="165" fontId="1" fillId="0" borderId="21" xfId="0" applyNumberFormat="1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164" fontId="1" fillId="0" borderId="11" xfId="0" applyNumberFormat="1" applyFont="1" applyFill="1" applyBorder="1" applyAlignment="1" applyProtection="1">
      <alignment horizontal="center" vertical="center"/>
      <protection locked="0"/>
    </xf>
    <xf numFmtId="164" fontId="1" fillId="0" borderId="33" xfId="0" applyNumberFormat="1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32" xfId="0" applyFont="1" applyFill="1" applyBorder="1" applyAlignment="1" applyProtection="1">
      <alignment horizontal="center" vertical="center"/>
      <protection locked="0"/>
    </xf>
    <xf numFmtId="0" fontId="1" fillId="0" borderId="33" xfId="0" applyFont="1" applyFill="1" applyBorder="1" applyAlignment="1" applyProtection="1">
      <alignment horizontal="center" vertical="center"/>
      <protection locked="0"/>
    </xf>
    <xf numFmtId="0" fontId="1" fillId="0" borderId="35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</xf>
    <xf numFmtId="0" fontId="12" fillId="0" borderId="38" xfId="0" applyFont="1" applyBorder="1" applyAlignment="1" applyProtection="1">
      <alignment horizontal="center" vertical="center"/>
    </xf>
    <xf numFmtId="0" fontId="12" fillId="0" borderId="29" xfId="0" applyFont="1" applyBorder="1" applyAlignment="1" applyProtection="1">
      <alignment horizontal="center" vertical="center"/>
    </xf>
    <xf numFmtId="0" fontId="12" fillId="0" borderId="39" xfId="0" applyFont="1" applyBorder="1" applyAlignment="1" applyProtection="1">
      <alignment horizontal="center" vertical="center"/>
    </xf>
    <xf numFmtId="0" fontId="12" fillId="0" borderId="11" xfId="0" applyFont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</xf>
    <xf numFmtId="0" fontId="12" fillId="0" borderId="11" xfId="0" applyFont="1" applyFill="1" applyBorder="1" applyAlignment="1" applyProtection="1">
      <alignment horizontal="center" vertical="center"/>
    </xf>
    <xf numFmtId="0" fontId="12" fillId="0" borderId="30" xfId="0" applyFont="1" applyFill="1" applyBorder="1" applyAlignment="1" applyProtection="1">
      <alignment horizontal="center" vertical="center"/>
    </xf>
    <xf numFmtId="0" fontId="12" fillId="0" borderId="32" xfId="0" applyFont="1" applyFill="1" applyBorder="1" applyAlignment="1" applyProtection="1">
      <alignment horizontal="center" vertical="center"/>
    </xf>
    <xf numFmtId="0" fontId="30" fillId="0" borderId="10" xfId="0" applyFont="1" applyFill="1" applyBorder="1" applyAlignment="1" applyProtection="1">
      <alignment horizontal="center" vertical="center"/>
    </xf>
    <xf numFmtId="0" fontId="30" fillId="0" borderId="17" xfId="0" applyFont="1" applyFill="1" applyBorder="1" applyAlignment="1" applyProtection="1">
      <alignment horizontal="center" vertical="center"/>
    </xf>
    <xf numFmtId="0" fontId="30" fillId="0" borderId="1" xfId="0" applyFont="1" applyFill="1" applyBorder="1" applyAlignment="1" applyProtection="1">
      <alignment horizontal="center" vertical="center"/>
    </xf>
    <xf numFmtId="0" fontId="30" fillId="0" borderId="5" xfId="0" applyFont="1" applyFill="1" applyBorder="1" applyAlignment="1" applyProtection="1">
      <alignment horizontal="center" vertical="center"/>
    </xf>
    <xf numFmtId="0" fontId="30" fillId="0" borderId="18" xfId="0" applyFont="1" applyFill="1" applyBorder="1" applyAlignment="1" applyProtection="1">
      <alignment horizontal="center" vertical="center"/>
    </xf>
    <xf numFmtId="0" fontId="30" fillId="0" borderId="6" xfId="0" applyFont="1" applyFill="1" applyBorder="1" applyAlignment="1" applyProtection="1">
      <alignment horizontal="center" vertical="center"/>
    </xf>
    <xf numFmtId="0" fontId="7" fillId="0" borderId="20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167" fontId="1" fillId="0" borderId="7" xfId="0" applyNumberFormat="1" applyFont="1" applyBorder="1" applyAlignment="1" applyProtection="1">
      <alignment horizontal="center" vertical="center"/>
      <protection locked="0"/>
    </xf>
    <xf numFmtId="167" fontId="1" fillId="0" borderId="0" xfId="0" applyNumberFormat="1" applyFont="1" applyBorder="1" applyAlignment="1" applyProtection="1">
      <alignment horizontal="center" vertical="center"/>
      <protection locked="0"/>
    </xf>
    <xf numFmtId="167" fontId="1" fillId="0" borderId="36" xfId="0" applyNumberFormat="1" applyFont="1" applyBorder="1" applyAlignment="1" applyProtection="1">
      <alignment horizontal="center" vertical="center"/>
      <protection locked="0"/>
    </xf>
    <xf numFmtId="167" fontId="1" fillId="0" borderId="21" xfId="0" applyNumberFormat="1" applyFont="1" applyBorder="1" applyAlignment="1" applyProtection="1">
      <alignment horizontal="center" vertical="center"/>
      <protection locked="0"/>
    </xf>
    <xf numFmtId="167" fontId="1" fillId="0" borderId="40" xfId="0" applyNumberFormat="1" applyFont="1" applyBorder="1" applyAlignment="1" applyProtection="1">
      <alignment horizontal="center" vertical="center"/>
      <protection locked="0"/>
    </xf>
    <xf numFmtId="167" fontId="1" fillId="0" borderId="41" xfId="0" applyNumberFormat="1" applyFont="1" applyBorder="1" applyAlignment="1" applyProtection="1">
      <alignment horizontal="center" vertical="center"/>
      <protection locked="0"/>
    </xf>
    <xf numFmtId="167" fontId="1" fillId="0" borderId="45" xfId="0" applyNumberFormat="1" applyFont="1" applyBorder="1" applyAlignment="1" applyProtection="1">
      <alignment horizontal="center" vertical="center"/>
      <protection locked="0"/>
    </xf>
    <xf numFmtId="167" fontId="1" fillId="0" borderId="23" xfId="0" applyNumberFormat="1" applyFont="1" applyBorder="1" applyAlignment="1" applyProtection="1">
      <alignment horizontal="center" vertical="center"/>
      <protection locked="0"/>
    </xf>
    <xf numFmtId="1" fontId="1" fillId="0" borderId="40" xfId="0" applyNumberFormat="1" applyFont="1" applyBorder="1" applyAlignment="1" applyProtection="1">
      <alignment horizontal="center" vertical="center"/>
      <protection locked="0"/>
    </xf>
    <xf numFmtId="1" fontId="1" fillId="0" borderId="41" xfId="0" applyNumberFormat="1" applyFont="1" applyBorder="1" applyAlignment="1" applyProtection="1">
      <alignment horizontal="center" vertical="center"/>
      <protection locked="0"/>
    </xf>
    <xf numFmtId="1" fontId="1" fillId="0" borderId="42" xfId="0" applyNumberFormat="1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</xf>
    <xf numFmtId="0" fontId="5" fillId="0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5" xfId="0" applyFont="1" applyFill="1" applyBorder="1" applyAlignment="1" applyProtection="1">
      <alignment horizontal="center" vertical="center"/>
    </xf>
    <xf numFmtId="167" fontId="1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top"/>
    </xf>
    <xf numFmtId="0" fontId="5" fillId="0" borderId="4" xfId="0" applyFont="1" applyBorder="1" applyAlignment="1" applyProtection="1">
      <alignment horizontal="center" vertical="top"/>
    </xf>
    <xf numFmtId="0" fontId="1" fillId="0" borderId="11" xfId="0" applyFont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9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top"/>
    </xf>
    <xf numFmtId="0" fontId="5" fillId="0" borderId="8" xfId="0" applyFont="1" applyBorder="1" applyAlignment="1" applyProtection="1">
      <alignment horizontal="center" vertical="top"/>
    </xf>
    <xf numFmtId="1" fontId="1" fillId="0" borderId="6" xfId="0" applyNumberFormat="1" applyFont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1" fontId="1" fillId="0" borderId="5" xfId="0" applyNumberFormat="1" applyFont="1" applyBorder="1" applyAlignment="1" applyProtection="1">
      <alignment horizontal="center" vertical="center"/>
      <protection locked="0"/>
    </xf>
    <xf numFmtId="167" fontId="1" fillId="3" borderId="44" xfId="0" applyNumberFormat="1" applyFont="1" applyFill="1" applyBorder="1" applyAlignment="1" applyProtection="1">
      <alignment horizontal="center" vertical="center"/>
    </xf>
    <xf numFmtId="167" fontId="1" fillId="0" borderId="1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6" xfId="0" applyFont="1" applyBorder="1" applyAlignment="1" applyProtection="1">
      <alignment horizontal="center" vertical="center"/>
    </xf>
    <xf numFmtId="167" fontId="1" fillId="0" borderId="11" xfId="0" applyNumberFormat="1" applyFont="1" applyBorder="1" applyAlignment="1" applyProtection="1">
      <alignment horizontal="center" vertical="center"/>
    </xf>
    <xf numFmtId="0" fontId="7" fillId="0" borderId="29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/>
    </xf>
    <xf numFmtId="0" fontId="22" fillId="0" borderId="6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22" fillId="0" borderId="5" xfId="0" applyFont="1" applyBorder="1" applyAlignment="1" applyProtection="1">
      <alignment horizontal="center" vertical="center"/>
      <protection locked="0"/>
    </xf>
    <xf numFmtId="0" fontId="5" fillId="0" borderId="40" xfId="0" applyFont="1" applyBorder="1" applyAlignment="1" applyProtection="1">
      <alignment horizontal="center" vertical="center"/>
    </xf>
    <xf numFmtId="0" fontId="5" fillId="0" borderId="41" xfId="0" applyFont="1" applyBorder="1" applyAlignment="1" applyProtection="1">
      <alignment horizontal="center" vertical="center"/>
    </xf>
    <xf numFmtId="14" fontId="22" fillId="0" borderId="41" xfId="0" applyNumberFormat="1" applyFont="1" applyBorder="1" applyAlignment="1" applyProtection="1">
      <alignment horizontal="center" vertical="center"/>
      <protection locked="0"/>
    </xf>
    <xf numFmtId="14" fontId="22" fillId="0" borderId="42" xfId="0" applyNumberFormat="1" applyFont="1" applyBorder="1" applyAlignment="1" applyProtection="1">
      <alignment horizontal="center" vertical="center"/>
      <protection locked="0"/>
    </xf>
    <xf numFmtId="14" fontId="1" fillId="0" borderId="18" xfId="0" applyNumberFormat="1" applyFont="1" applyFill="1" applyBorder="1" applyAlignment="1" applyProtection="1">
      <alignment horizontal="center" vertical="center"/>
    </xf>
    <xf numFmtId="14" fontId="1" fillId="0" borderId="10" xfId="0" applyNumberFormat="1" applyFont="1" applyFill="1" applyBorder="1" applyAlignment="1" applyProtection="1">
      <alignment horizontal="center" vertical="center"/>
    </xf>
    <xf numFmtId="14" fontId="1" fillId="0" borderId="6" xfId="0" applyNumberFormat="1" applyFont="1" applyFill="1" applyBorder="1" applyAlignment="1" applyProtection="1">
      <alignment horizontal="center" vertical="center"/>
    </xf>
    <xf numFmtId="14" fontId="1" fillId="0" borderId="1" xfId="0" applyNumberFormat="1" applyFont="1" applyFill="1" applyBorder="1" applyAlignment="1" applyProtection="1">
      <alignment horizontal="center" vertical="center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9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3" xfId="0" applyNumberFormat="1" applyFont="1" applyBorder="1" applyAlignment="1" applyProtection="1">
      <alignment horizontal="center" vertical="center"/>
      <protection locked="0"/>
    </xf>
    <xf numFmtId="164" fontId="1" fillId="0" borderId="27" xfId="0" applyNumberFormat="1" applyFont="1" applyBorder="1" applyAlignment="1" applyProtection="1">
      <alignment horizontal="center" vertical="center"/>
      <protection locked="0"/>
    </xf>
    <xf numFmtId="164" fontId="1" fillId="0" borderId="25" xfId="0" applyNumberFormat="1" applyFont="1" applyBorder="1" applyAlignment="1" applyProtection="1">
      <alignment horizontal="center" vertical="center"/>
      <protection locked="0"/>
    </xf>
    <xf numFmtId="164" fontId="1" fillId="0" borderId="28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7" fillId="0" borderId="29" xfId="0" applyFont="1" applyBorder="1" applyAlignment="1" applyProtection="1">
      <alignment horizontal="center" vertical="center"/>
    </xf>
    <xf numFmtId="0" fontId="7" fillId="0" borderId="30" xfId="0" applyFont="1" applyBorder="1" applyAlignment="1" applyProtection="1">
      <alignment horizontal="center" vertic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32" xfId="0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7" fillId="0" borderId="10" xfId="0" applyFont="1" applyBorder="1" applyAlignment="1" applyProtection="1">
      <alignment horizontal="center" vertical="center"/>
    </xf>
    <xf numFmtId="0" fontId="0" fillId="0" borderId="18" xfId="0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36" xfId="0" applyFill="1" applyBorder="1" applyAlignment="1" applyProtection="1">
      <alignment horizontal="center"/>
    </xf>
    <xf numFmtId="167" fontId="1" fillId="0" borderId="13" xfId="0" applyNumberFormat="1" applyFont="1" applyBorder="1" applyAlignment="1" applyProtection="1">
      <alignment horizontal="center" vertical="center"/>
    </xf>
    <xf numFmtId="167" fontId="1" fillId="0" borderId="34" xfId="0" applyNumberFormat="1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7" fillId="0" borderId="36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0" fontId="7" fillId="0" borderId="21" xfId="0" applyFont="1" applyBorder="1" applyAlignment="1" applyProtection="1">
      <alignment horizontal="center"/>
    </xf>
    <xf numFmtId="0" fontId="7" fillId="0" borderId="2" xfId="0" applyFont="1" applyBorder="1" applyAlignment="1" applyProtection="1">
      <alignment horizontal="righ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6" xfId="0" applyFont="1" applyBorder="1" applyAlignment="1" applyProtection="1">
      <alignment horizontal="right" vertical="center"/>
    </xf>
    <xf numFmtId="0" fontId="7" fillId="0" borderId="1" xfId="0" applyFont="1" applyBorder="1" applyAlignment="1" applyProtection="1">
      <alignment horizontal="right" vertical="center"/>
    </xf>
    <xf numFmtId="164" fontId="1" fillId="0" borderId="3" xfId="0" applyNumberFormat="1" applyFont="1" applyFill="1" applyBorder="1" applyAlignment="1" applyProtection="1">
      <alignment horizontal="center" vertical="center"/>
      <protection locked="0"/>
    </xf>
    <xf numFmtId="164" fontId="1" fillId="0" borderId="25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</xf>
    <xf numFmtId="164" fontId="1" fillId="0" borderId="3" xfId="0" quotePrefix="1" applyNumberFormat="1" applyFont="1" applyFill="1" applyBorder="1" applyAlignment="1" applyProtection="1">
      <alignment horizontal="center" vertical="center"/>
      <protection locked="0"/>
    </xf>
    <xf numFmtId="167" fontId="1" fillId="0" borderId="33" xfId="0" applyNumberFormat="1" applyFont="1" applyBorder="1" applyAlignment="1" applyProtection="1">
      <alignment horizontal="center" vertical="center"/>
    </xf>
    <xf numFmtId="164" fontId="5" fillId="0" borderId="0" xfId="0" applyNumberFormat="1" applyFont="1" applyAlignment="1" applyProtection="1">
      <alignment horizontal="center" vertical="top"/>
    </xf>
    <xf numFmtId="0" fontId="1" fillId="0" borderId="0" xfId="0" applyFont="1" applyFill="1" applyAlignment="1" applyProtection="1">
      <alignment horizontal="right"/>
    </xf>
    <xf numFmtId="0" fontId="3" fillId="0" borderId="0" xfId="0" applyFont="1" applyAlignment="1" applyProtection="1">
      <alignment horizontal="right"/>
    </xf>
    <xf numFmtId="166" fontId="1" fillId="0" borderId="0" xfId="0" applyNumberFormat="1" applyFont="1" applyFill="1" applyBorder="1" applyAlignment="1" applyProtection="1">
      <alignment horizontal="center"/>
      <protection locked="0"/>
    </xf>
    <xf numFmtId="0" fontId="1" fillId="0" borderId="18" xfId="0" applyFont="1" applyFill="1" applyBorder="1" applyAlignment="1" applyProtection="1">
      <alignment horizontal="right" vertical="center"/>
    </xf>
    <xf numFmtId="0" fontId="1" fillId="0" borderId="10" xfId="0" applyFont="1" applyFill="1" applyBorder="1" applyAlignment="1" applyProtection="1">
      <alignment horizontal="right" vertical="center"/>
    </xf>
    <xf numFmtId="0" fontId="1" fillId="0" borderId="6" xfId="0" applyFont="1" applyFill="1" applyBorder="1" applyAlignment="1" applyProtection="1">
      <alignment horizontal="right" vertical="center"/>
    </xf>
    <xf numFmtId="0" fontId="1" fillId="0" borderId="1" xfId="0" applyFont="1" applyFill="1" applyBorder="1" applyAlignment="1" applyProtection="1">
      <alignment horizontal="right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0" borderId="27" xfId="0" applyFont="1" applyBorder="1" applyAlignment="1" applyProtection="1">
      <alignment horizontal="center" vertical="center"/>
    </xf>
    <xf numFmtId="0" fontId="1" fillId="0" borderId="25" xfId="0" applyFont="1" applyBorder="1" applyAlignment="1" applyProtection="1">
      <alignment horizontal="center" vertical="center"/>
    </xf>
    <xf numFmtId="164" fontId="1" fillId="0" borderId="15" xfId="0" applyNumberFormat="1" applyFont="1" applyFill="1" applyBorder="1" applyAlignment="1" applyProtection="1">
      <alignment horizontal="center" vertical="center"/>
    </xf>
    <xf numFmtId="164" fontId="1" fillId="0" borderId="37" xfId="0" applyNumberFormat="1" applyFont="1" applyFill="1" applyBorder="1" applyAlignment="1" applyProtection="1">
      <alignment horizontal="center" vertical="center"/>
    </xf>
    <xf numFmtId="0" fontId="2" fillId="0" borderId="25" xfId="0" applyFont="1" applyFill="1" applyBorder="1" applyAlignment="1" applyProtection="1">
      <alignment horizontal="center"/>
    </xf>
    <xf numFmtId="0" fontId="5" fillId="0" borderId="25" xfId="0" applyFont="1" applyFill="1" applyBorder="1" applyAlignment="1" applyProtection="1">
      <alignment horizontal="right" vertical="center"/>
    </xf>
    <xf numFmtId="0" fontId="1" fillId="0" borderId="18" xfId="0" applyFont="1" applyFill="1" applyBorder="1" applyAlignment="1" applyProtection="1">
      <alignment horizontal="center" vertical="center"/>
    </xf>
    <xf numFmtId="0" fontId="1" fillId="0" borderId="10" xfId="0" applyFont="1" applyFill="1" applyBorder="1" applyAlignment="1" applyProtection="1">
      <alignment horizontal="center" vertical="center"/>
    </xf>
    <xf numFmtId="0" fontId="1" fillId="0" borderId="6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10" xfId="0" applyFont="1" applyFill="1" applyBorder="1" applyAlignment="1" applyProtection="1">
      <alignment horizontal="left" vertical="center"/>
      <protection locked="0"/>
    </xf>
    <xf numFmtId="0" fontId="1" fillId="0" borderId="17" xfId="0" applyFont="1" applyFill="1" applyBorder="1" applyAlignment="1" applyProtection="1">
      <alignment horizontal="left" vertical="center"/>
      <protection locked="0"/>
    </xf>
    <xf numFmtId="0" fontId="1" fillId="0" borderId="1" xfId="0" applyFont="1" applyFill="1" applyBorder="1" applyAlignment="1" applyProtection="1">
      <alignment horizontal="left" vertical="center"/>
      <protection locked="0"/>
    </xf>
    <xf numFmtId="0" fontId="1" fillId="0" borderId="5" xfId="0" applyFont="1" applyFill="1" applyBorder="1" applyAlignment="1" applyProtection="1">
      <alignment horizontal="left" vertical="center"/>
      <protection locked="0"/>
    </xf>
    <xf numFmtId="0" fontId="1" fillId="0" borderId="3" xfId="0" applyFont="1" applyFill="1" applyBorder="1" applyAlignment="1" applyProtection="1">
      <alignment horizontal="right" vertical="center"/>
    </xf>
    <xf numFmtId="0" fontId="1" fillId="0" borderId="25" xfId="0" applyFont="1" applyFill="1" applyBorder="1" applyAlignment="1" applyProtection="1">
      <alignment horizontal="right" vertical="center"/>
    </xf>
    <xf numFmtId="1" fontId="1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0" borderId="19" xfId="0" applyNumberFormat="1" applyFont="1" applyFill="1" applyBorder="1" applyAlignment="1" applyProtection="1">
      <alignment horizontal="center" vertical="center"/>
      <protection locked="0"/>
    </xf>
    <xf numFmtId="1" fontId="1" fillId="0" borderId="1" xfId="0" applyNumberFormat="1" applyFont="1" applyFill="1" applyBorder="1" applyAlignment="1" applyProtection="1">
      <alignment horizontal="center" vertical="center"/>
      <protection locked="0"/>
    </xf>
    <xf numFmtId="1" fontId="1" fillId="0" borderId="21" xfId="0" applyNumberFormat="1" applyFont="1" applyFill="1" applyBorder="1" applyAlignment="1" applyProtection="1">
      <alignment horizontal="center" vertical="center"/>
      <protection locked="0"/>
    </xf>
    <xf numFmtId="2" fontId="1" fillId="0" borderId="3" xfId="0" applyNumberFormat="1" applyFont="1" applyBorder="1" applyAlignment="1" applyProtection="1">
      <alignment horizontal="center" vertical="center"/>
      <protection locked="0"/>
    </xf>
    <xf numFmtId="2" fontId="1" fillId="0" borderId="23" xfId="0" applyNumberFormat="1" applyFont="1" applyBorder="1" applyAlignment="1" applyProtection="1">
      <alignment horizontal="center" vertical="center"/>
      <protection locked="0"/>
    </xf>
    <xf numFmtId="2" fontId="1" fillId="0" borderId="25" xfId="0" applyNumberFormat="1" applyFont="1" applyBorder="1" applyAlignment="1" applyProtection="1">
      <alignment horizontal="center" vertical="center"/>
      <protection locked="0"/>
    </xf>
    <xf numFmtId="2" fontId="1" fillId="0" borderId="28" xfId="0" applyNumberFormat="1" applyFont="1" applyBorder="1" applyAlignment="1" applyProtection="1">
      <alignment horizontal="center" vertical="center"/>
      <protection locked="0"/>
    </xf>
    <xf numFmtId="164" fontId="1" fillId="0" borderId="23" xfId="0" applyNumberFormat="1" applyFont="1" applyFill="1" applyBorder="1" applyAlignment="1" applyProtection="1">
      <alignment horizontal="center" vertical="center"/>
      <protection locked="0"/>
    </xf>
    <xf numFmtId="164" fontId="1" fillId="0" borderId="28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</xf>
    <xf numFmtId="0" fontId="14" fillId="0" borderId="25" xfId="0" applyFont="1" applyBorder="1" applyAlignment="1" applyProtection="1">
      <alignment horizontal="left" vertical="center"/>
    </xf>
    <xf numFmtId="0" fontId="7" fillId="0" borderId="25" xfId="0" applyFont="1" applyBorder="1" applyAlignment="1" applyProtection="1">
      <alignment horizontal="center" vertical="center"/>
    </xf>
    <xf numFmtId="167" fontId="1" fillId="0" borderId="11" xfId="0" applyNumberFormat="1" applyFont="1" applyBorder="1" applyAlignment="1" applyProtection="1">
      <alignment horizontal="center" vertical="center"/>
      <protection locked="0"/>
    </xf>
    <xf numFmtId="167" fontId="1" fillId="0" borderId="33" xfId="0" applyNumberFormat="1" applyFont="1" applyBorder="1" applyAlignment="1" applyProtection="1">
      <alignment horizontal="center" vertical="center"/>
      <protection locked="0"/>
    </xf>
    <xf numFmtId="0" fontId="1" fillId="0" borderId="22" xfId="0" applyFont="1" applyFill="1" applyBorder="1" applyAlignment="1" applyProtection="1">
      <alignment horizontal="center" vertical="center"/>
    </xf>
    <xf numFmtId="0" fontId="1" fillId="0" borderId="24" xfId="0" applyFont="1" applyFill="1" applyBorder="1" applyAlignment="1" applyProtection="1">
      <alignment horizontal="center" vertical="center"/>
    </xf>
    <xf numFmtId="164" fontId="1" fillId="0" borderId="3" xfId="0" applyNumberFormat="1" applyFont="1" applyFill="1" applyBorder="1" applyAlignment="1" applyProtection="1">
      <alignment horizontal="center" vertical="center"/>
    </xf>
    <xf numFmtId="164" fontId="1" fillId="0" borderId="25" xfId="0" applyNumberFormat="1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0" fontId="1" fillId="0" borderId="25" xfId="0" applyFont="1" applyFill="1" applyBorder="1" applyAlignment="1" applyProtection="1">
      <alignment horizontal="center" vertical="center"/>
    </xf>
    <xf numFmtId="0" fontId="5" fillId="0" borderId="25" xfId="0" applyFont="1" applyBorder="1" applyAlignment="1" applyProtection="1">
      <alignment horizontal="center" vertical="center"/>
    </xf>
    <xf numFmtId="0" fontId="5" fillId="0" borderId="26" xfId="0" applyFont="1" applyBorder="1" applyAlignment="1" applyProtection="1">
      <alignment horizontal="center" vertical="center"/>
    </xf>
    <xf numFmtId="0" fontId="7" fillId="0" borderId="16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/>
    </xf>
    <xf numFmtId="0" fontId="7" fillId="0" borderId="17" xfId="0" applyFont="1" applyBorder="1" applyAlignment="1" applyProtection="1">
      <alignment horizontal="center"/>
    </xf>
    <xf numFmtId="0" fontId="7" fillId="0" borderId="31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5" fillId="0" borderId="25" xfId="0" applyFont="1" applyBorder="1" applyAlignment="1" applyProtection="1">
      <alignment horizontal="right"/>
    </xf>
    <xf numFmtId="0" fontId="2" fillId="0" borderId="0" xfId="0" applyFont="1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left"/>
    </xf>
    <xf numFmtId="0" fontId="7" fillId="0" borderId="1" xfId="0" applyFont="1" applyBorder="1" applyAlignment="1" applyProtection="1">
      <alignment horizontal="left"/>
    </xf>
    <xf numFmtId="0" fontId="7" fillId="0" borderId="4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1" fontId="1" fillId="0" borderId="31" xfId="0" applyNumberFormat="1" applyFont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 vertical="center"/>
    </xf>
    <xf numFmtId="1" fontId="1" fillId="0" borderId="8" xfId="0" applyNumberFormat="1" applyFont="1" applyBorder="1" applyAlignment="1" applyProtection="1">
      <alignment horizontal="center" vertical="center"/>
    </xf>
    <xf numFmtId="1" fontId="1" fillId="0" borderId="24" xfId="0" applyNumberFormat="1" applyFont="1" applyBorder="1" applyAlignment="1" applyProtection="1">
      <alignment horizontal="center" vertical="center"/>
    </xf>
    <xf numFmtId="1" fontId="1" fillId="0" borderId="25" xfId="0" applyNumberFormat="1" applyFont="1" applyBorder="1" applyAlignment="1" applyProtection="1">
      <alignment horizontal="center" vertical="center"/>
    </xf>
    <xf numFmtId="1" fontId="1" fillId="0" borderId="26" xfId="0" applyNumberFormat="1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14" fontId="5" fillId="2" borderId="0" xfId="0" applyNumberFormat="1" applyFont="1" applyFill="1" applyAlignment="1" applyProtection="1">
      <alignment horizontal="center" vertical="top"/>
    </xf>
    <xf numFmtId="0" fontId="5" fillId="2" borderId="0" xfId="0" applyFont="1" applyFill="1" applyAlignment="1" applyProtection="1">
      <alignment horizontal="center" vertical="top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8" xfId="0" applyFont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center" vertical="center"/>
    </xf>
    <xf numFmtId="0" fontId="1" fillId="0" borderId="17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26" xfId="0" applyFont="1" applyBorder="1" applyAlignment="1" applyProtection="1">
      <alignment horizontal="center" vertical="center"/>
    </xf>
    <xf numFmtId="0" fontId="1" fillId="0" borderId="16" xfId="0" applyFont="1" applyFill="1" applyBorder="1" applyAlignment="1" applyProtection="1">
      <alignment horizontal="center" vertical="center"/>
    </xf>
    <xf numFmtId="0" fontId="1" fillId="0" borderId="20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27" xfId="0" applyFont="1" applyFill="1" applyBorder="1" applyAlignment="1" applyProtection="1">
      <alignment horizontal="center" vertical="center"/>
    </xf>
    <xf numFmtId="0" fontId="1" fillId="0" borderId="16" xfId="0" applyFont="1" applyBorder="1" applyAlignment="1" applyProtection="1">
      <alignment horizontal="center" vertical="center"/>
    </xf>
    <xf numFmtId="0" fontId="1" fillId="0" borderId="20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</xf>
    <xf numFmtId="0" fontId="29" fillId="0" borderId="0" xfId="0" applyFont="1" applyFill="1" applyAlignment="1" applyProtection="1">
      <alignment horizontal="right"/>
    </xf>
    <xf numFmtId="0" fontId="15" fillId="0" borderId="0" xfId="0" applyFont="1" applyFill="1" applyAlignment="1" applyProtection="1">
      <alignment horizontal="right"/>
    </xf>
    <xf numFmtId="164" fontId="3" fillId="0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right"/>
    </xf>
    <xf numFmtId="0" fontId="3" fillId="0" borderId="1" xfId="0" applyFont="1" applyBorder="1" applyAlignment="1" applyProtection="1">
      <alignment horizontal="center"/>
    </xf>
    <xf numFmtId="0" fontId="1" fillId="0" borderId="40" xfId="0" applyFont="1" applyBorder="1" applyAlignment="1" applyProtection="1">
      <alignment horizontal="center" vertical="center"/>
      <protection locked="0"/>
    </xf>
    <xf numFmtId="0" fontId="1" fillId="0" borderId="41" xfId="0" applyFont="1" applyBorder="1" applyAlignment="1" applyProtection="1">
      <alignment horizontal="center" vertical="center"/>
      <protection locked="0"/>
    </xf>
    <xf numFmtId="0" fontId="1" fillId="0" borderId="42" xfId="0" applyFont="1" applyBorder="1" applyAlignment="1" applyProtection="1">
      <alignment horizontal="center" vertical="center"/>
      <protection locked="0"/>
    </xf>
    <xf numFmtId="0" fontId="5" fillId="0" borderId="3" xfId="0" quotePrefix="1" applyFont="1" applyFill="1" applyBorder="1" applyAlignment="1" applyProtection="1">
      <alignment horizontal="center" vertical="center"/>
    </xf>
    <xf numFmtId="0" fontId="5" fillId="0" borderId="4" xfId="0" quotePrefix="1" applyFont="1" applyFill="1" applyBorder="1" applyAlignment="1" applyProtection="1">
      <alignment horizontal="center" vertical="center"/>
    </xf>
    <xf numFmtId="0" fontId="5" fillId="0" borderId="1" xfId="0" quotePrefix="1" applyFont="1" applyFill="1" applyBorder="1" applyAlignment="1" applyProtection="1">
      <alignment horizontal="center" vertical="center"/>
    </xf>
    <xf numFmtId="0" fontId="5" fillId="0" borderId="5" xfId="0" quotePrefix="1" applyFont="1" applyFill="1" applyBorder="1" applyAlignment="1" applyProtection="1">
      <alignment horizontal="center" vertical="center"/>
    </xf>
    <xf numFmtId="167" fontId="1" fillId="3" borderId="13" xfId="0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/>
    </xf>
    <xf numFmtId="167" fontId="1" fillId="3" borderId="12" xfId="0" applyNumberFormat="1" applyFont="1" applyFill="1" applyBorder="1" applyAlignment="1" applyProtection="1">
      <alignment horizontal="center" vertical="center"/>
    </xf>
    <xf numFmtId="0" fontId="20" fillId="0" borderId="3" xfId="0" applyFont="1" applyBorder="1" applyAlignment="1" applyProtection="1">
      <alignment horizontal="right" vertical="center"/>
    </xf>
    <xf numFmtId="0" fontId="20" fillId="0" borderId="1" xfId="0" applyFont="1" applyBorder="1" applyAlignment="1" applyProtection="1">
      <alignment horizontal="right" vertical="center"/>
    </xf>
    <xf numFmtId="167" fontId="1" fillId="3" borderId="11" xfId="0" applyNumberFormat="1" applyFont="1" applyFill="1" applyBorder="1" applyAlignment="1" applyProtection="1">
      <alignment horizontal="center" vertical="center"/>
    </xf>
    <xf numFmtId="0" fontId="7" fillId="0" borderId="43" xfId="0" applyFont="1" applyFill="1" applyBorder="1" applyAlignment="1" applyProtection="1">
      <alignment horizontal="center" vertical="center"/>
    </xf>
    <xf numFmtId="0" fontId="7" fillId="0" borderId="41" xfId="0" applyFont="1" applyFill="1" applyBorder="1" applyAlignment="1" applyProtection="1">
      <alignment horizontal="center" vertical="center"/>
    </xf>
    <xf numFmtId="0" fontId="5" fillId="0" borderId="3" xfId="0" quotePrefix="1" applyFont="1" applyBorder="1" applyAlignment="1" applyProtection="1">
      <alignment horizontal="center" vertical="center"/>
    </xf>
    <xf numFmtId="0" fontId="5" fillId="0" borderId="4" xfId="0" quotePrefix="1" applyFont="1" applyBorder="1" applyAlignment="1" applyProtection="1">
      <alignment horizontal="center" vertical="center"/>
    </xf>
    <xf numFmtId="0" fontId="5" fillId="0" borderId="1" xfId="0" quotePrefix="1" applyFont="1" applyBorder="1" applyAlignment="1" applyProtection="1">
      <alignment horizontal="center" vertical="center"/>
    </xf>
    <xf numFmtId="0" fontId="5" fillId="0" borderId="5" xfId="0" quotePrefix="1" applyFont="1" applyBorder="1" applyAlignment="1" applyProtection="1">
      <alignment horizontal="center" vertical="center"/>
    </xf>
    <xf numFmtId="167" fontId="1" fillId="0" borderId="12" xfId="0" applyNumberFormat="1" applyFont="1" applyFill="1" applyBorder="1" applyAlignment="1" applyProtection="1">
      <alignment horizontal="center" vertical="center"/>
      <protection locked="0"/>
    </xf>
    <xf numFmtId="167" fontId="1" fillId="0" borderId="2" xfId="0" applyNumberFormat="1" applyFont="1" applyFill="1" applyBorder="1" applyAlignment="1" applyProtection="1">
      <alignment horizontal="center" vertical="center"/>
      <protection locked="0"/>
    </xf>
    <xf numFmtId="167" fontId="1" fillId="0" borderId="3" xfId="0" applyNumberFormat="1" applyFont="1" applyFill="1" applyBorder="1" applyAlignment="1" applyProtection="1">
      <alignment horizontal="center" vertical="center"/>
      <protection locked="0"/>
    </xf>
    <xf numFmtId="167" fontId="1" fillId="0" borderId="23" xfId="0" applyNumberFormat="1" applyFont="1" applyFill="1" applyBorder="1" applyAlignment="1" applyProtection="1">
      <alignment horizontal="center" vertical="center"/>
      <protection locked="0"/>
    </xf>
    <xf numFmtId="167" fontId="1" fillId="0" borderId="27" xfId="0" applyNumberFormat="1" applyFont="1" applyFill="1" applyBorder="1" applyAlignment="1" applyProtection="1">
      <alignment horizontal="center" vertical="center"/>
      <protection locked="0"/>
    </xf>
    <xf numFmtId="167" fontId="1" fillId="0" borderId="25" xfId="0" applyNumberFormat="1" applyFont="1" applyFill="1" applyBorder="1" applyAlignment="1" applyProtection="1">
      <alignment horizontal="center" vertical="center"/>
      <protection locked="0"/>
    </xf>
    <xf numFmtId="167" fontId="1" fillId="0" borderId="28" xfId="0" applyNumberFormat="1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167" fontId="1" fillId="0" borderId="4" xfId="0" applyNumberFormat="1" applyFont="1" applyFill="1" applyBorder="1" applyAlignment="1" applyProtection="1">
      <alignment horizontal="center" vertical="center"/>
      <protection locked="0"/>
    </xf>
    <xf numFmtId="167" fontId="1" fillId="0" borderId="6" xfId="0" applyNumberFormat="1" applyFont="1" applyFill="1" applyBorder="1" applyAlignment="1" applyProtection="1">
      <alignment horizontal="center" vertical="center"/>
      <protection locked="0"/>
    </xf>
    <xf numFmtId="167" fontId="1" fillId="0" borderId="1" xfId="0" applyNumberFormat="1" applyFont="1" applyFill="1" applyBorder="1" applyAlignment="1" applyProtection="1">
      <alignment horizontal="center" vertical="center"/>
      <protection locked="0"/>
    </xf>
    <xf numFmtId="167" fontId="1" fillId="0" borderId="5" xfId="0" applyNumberFormat="1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 applyProtection="1">
      <alignment horizontal="center" vertical="center"/>
    </xf>
    <xf numFmtId="0" fontId="20" fillId="0" borderId="1" xfId="0" applyFont="1" applyBorder="1" applyAlignment="1" applyProtection="1">
      <alignment horizontal="center" vertical="center"/>
    </xf>
    <xf numFmtId="2" fontId="1" fillId="0" borderId="40" xfId="0" applyNumberFormat="1" applyFont="1" applyBorder="1" applyAlignment="1" applyProtection="1">
      <alignment horizontal="center" vertical="center"/>
      <protection locked="0"/>
    </xf>
    <xf numFmtId="2" fontId="1" fillId="0" borderId="41" xfId="0" applyNumberFormat="1" applyFont="1" applyBorder="1" applyAlignment="1" applyProtection="1">
      <alignment horizontal="center" vertical="center"/>
      <protection locked="0"/>
    </xf>
    <xf numFmtId="2" fontId="1" fillId="0" borderId="45" xfId="0" applyNumberFormat="1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</xf>
    <xf numFmtId="0" fontId="5" fillId="0" borderId="8" xfId="0" applyFont="1" applyBorder="1" applyAlignment="1" applyProtection="1">
      <alignment horizontal="center" vertical="center"/>
    </xf>
    <xf numFmtId="0" fontId="1" fillId="0" borderId="47" xfId="0" applyFont="1" applyBorder="1" applyAlignment="1" applyProtection="1">
      <alignment horizontal="center" vertical="center"/>
      <protection locked="0"/>
    </xf>
    <xf numFmtId="0" fontId="1" fillId="0" borderId="46" xfId="0" applyFont="1" applyBorder="1" applyAlignment="1" applyProtection="1">
      <alignment horizontal="center" vertical="center"/>
      <protection locked="0"/>
    </xf>
    <xf numFmtId="0" fontId="1" fillId="0" borderId="48" xfId="0" applyFont="1" applyBorder="1" applyAlignment="1" applyProtection="1">
      <alignment horizontal="center" vertical="center"/>
      <protection locked="0"/>
    </xf>
    <xf numFmtId="0" fontId="7" fillId="0" borderId="3" xfId="0" applyFont="1" applyFill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</xf>
    <xf numFmtId="0" fontId="12" fillId="0" borderId="3" xfId="0" applyFont="1" applyBorder="1" applyAlignment="1" applyProtection="1">
      <alignment horizontal="center" vertical="center" textRotation="90"/>
    </xf>
    <xf numFmtId="0" fontId="12" fillId="0" borderId="4" xfId="0" applyFont="1" applyBorder="1" applyAlignment="1" applyProtection="1">
      <alignment horizontal="center" vertical="center" textRotation="90"/>
    </xf>
    <xf numFmtId="0" fontId="12" fillId="0" borderId="0" xfId="0" applyFont="1" applyBorder="1" applyAlignment="1" applyProtection="1">
      <alignment horizontal="center" vertical="center" textRotation="90"/>
    </xf>
    <xf numFmtId="0" fontId="12" fillId="0" borderId="8" xfId="0" applyFont="1" applyBorder="1" applyAlignment="1" applyProtection="1">
      <alignment horizontal="center" vertical="center" textRotation="90"/>
    </xf>
    <xf numFmtId="0" fontId="12" fillId="0" borderId="31" xfId="0" applyFont="1" applyBorder="1" applyAlignment="1" applyProtection="1">
      <alignment horizontal="center" vertical="center" textRotation="90"/>
    </xf>
    <xf numFmtId="0" fontId="12" fillId="0" borderId="24" xfId="0" applyFont="1" applyBorder="1" applyAlignment="1" applyProtection="1">
      <alignment horizontal="center" vertical="center" textRotation="90"/>
    </xf>
    <xf numFmtId="0" fontId="12" fillId="0" borderId="26" xfId="0" applyFont="1" applyBorder="1" applyAlignment="1" applyProtection="1">
      <alignment horizontal="center" vertical="center" textRotation="90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27" xfId="0" applyFont="1" applyFill="1" applyBorder="1" applyAlignment="1" applyProtection="1">
      <alignment horizontal="center" vertical="center"/>
    </xf>
    <xf numFmtId="0" fontId="7" fillId="0" borderId="25" xfId="0" applyFont="1" applyFill="1" applyBorder="1" applyAlignment="1" applyProtection="1">
      <alignment horizontal="center" vertical="center"/>
    </xf>
    <xf numFmtId="0" fontId="7" fillId="0" borderId="26" xfId="0" applyFont="1" applyBorder="1" applyAlignment="1" applyProtection="1">
      <alignment horizontal="center" vertical="center"/>
    </xf>
    <xf numFmtId="0" fontId="12" fillId="0" borderId="20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31" xfId="0" applyFont="1" applyBorder="1" applyAlignment="1">
      <alignment horizontal="right"/>
    </xf>
    <xf numFmtId="0" fontId="1" fillId="0" borderId="40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15"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ont>
        <u val="none"/>
        <color rgb="FFFF0000"/>
      </font>
      <fill>
        <patternFill patternType="none">
          <bgColor auto="1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ont>
        <color rgb="FF9900CC"/>
      </font>
    </dxf>
  </dxfs>
  <tableStyles count="0" defaultTableStyle="TableStyleMedium9" defaultPivotStyle="PivotStyleLight16"/>
  <colors>
    <mruColors>
      <color rgb="FFFF7C80"/>
      <color rgb="FFFF9900"/>
      <color rgb="FF99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152400</xdr:colOff>
          <xdr:row>0</xdr:row>
          <xdr:rowOff>9525</xdr:rowOff>
        </xdr:from>
        <xdr:to>
          <xdr:col>51</xdr:col>
          <xdr:colOff>114300</xdr:colOff>
          <xdr:row>4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dbl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with 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9900"/>
  </sheetPr>
  <dimension ref="A1:UF144"/>
  <sheetViews>
    <sheetView showGridLines="0" tabSelected="1" view="pageLayout" topLeftCell="A31" zoomScaleNormal="100" workbookViewId="0">
      <selection activeCell="AE11" sqref="AE11:AG11"/>
    </sheetView>
  </sheetViews>
  <sheetFormatPr defaultColWidth="2.42578125" defaultRowHeight="9.9499999999999993" customHeight="1" x14ac:dyDescent="0.25"/>
  <sheetData>
    <row r="1" spans="1:552" s="21" customFormat="1" ht="10.7" customHeight="1" x14ac:dyDescent="0.25">
      <c r="A1" s="401" t="s">
        <v>109</v>
      </c>
      <c r="B1" s="401"/>
      <c r="C1" s="401"/>
      <c r="E1" s="49"/>
      <c r="F1" s="49"/>
      <c r="G1" s="49"/>
      <c r="H1" s="223" t="s">
        <v>0</v>
      </c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5"/>
      <c r="AK1" s="268" t="s">
        <v>5</v>
      </c>
      <c r="AL1" s="239"/>
      <c r="AM1" s="239"/>
      <c r="AN1" s="239"/>
      <c r="AO1" s="239"/>
      <c r="AP1" s="390"/>
    </row>
    <row r="2" spans="1:552" s="21" customFormat="1" ht="10.7" customHeight="1" x14ac:dyDescent="0.25">
      <c r="A2" s="400">
        <v>42339</v>
      </c>
      <c r="B2" s="401"/>
      <c r="C2" s="401"/>
      <c r="E2" s="49"/>
      <c r="F2" s="49"/>
      <c r="G2" s="49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  <c r="AI2" s="223"/>
      <c r="AJ2" s="5"/>
      <c r="AK2" s="398"/>
      <c r="AL2" s="267"/>
      <c r="AM2" s="267"/>
      <c r="AN2" s="267"/>
      <c r="AO2" s="267"/>
      <c r="AP2" s="399"/>
    </row>
    <row r="3" spans="1:552" ht="15.75" customHeight="1" x14ac:dyDescent="0.25">
      <c r="A3" s="331"/>
      <c r="B3" s="331"/>
      <c r="C3" s="331"/>
      <c r="D3" s="50"/>
      <c r="E3" s="49"/>
      <c r="F3" s="49"/>
      <c r="G3" s="49"/>
      <c r="H3" s="328" t="s">
        <v>129</v>
      </c>
      <c r="I3" s="328"/>
      <c r="J3" s="328"/>
      <c r="K3" s="328"/>
      <c r="L3" s="328"/>
      <c r="M3" s="328"/>
      <c r="N3" s="328"/>
      <c r="O3" s="328"/>
      <c r="P3" s="328"/>
      <c r="Q3" s="328"/>
      <c r="R3" s="328"/>
      <c r="S3" s="328"/>
      <c r="T3" s="328"/>
      <c r="U3" s="328"/>
      <c r="V3" s="328"/>
      <c r="W3" s="328"/>
      <c r="X3" s="328"/>
      <c r="Y3" s="328"/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49"/>
      <c r="AK3" s="273"/>
      <c r="AL3" s="274"/>
      <c r="AM3" s="274"/>
      <c r="AN3" s="274"/>
      <c r="AO3" s="274"/>
      <c r="AP3" s="275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</row>
    <row r="4" spans="1:552" ht="16.5" customHeight="1" thickBot="1" x14ac:dyDescent="0.3">
      <c r="A4" s="5"/>
      <c r="B4" s="5"/>
      <c r="C4" s="5"/>
      <c r="D4" s="5"/>
      <c r="E4" s="5"/>
      <c r="F4" s="5"/>
      <c r="G4" s="5"/>
      <c r="H4" s="223" t="s">
        <v>13</v>
      </c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  <c r="AI4" s="223"/>
      <c r="AJ4" s="51"/>
      <c r="AK4" s="276" t="s">
        <v>89</v>
      </c>
      <c r="AL4" s="277"/>
      <c r="AM4" s="278"/>
      <c r="AN4" s="278"/>
      <c r="AO4" s="278"/>
      <c r="AP4" s="279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</row>
    <row r="5" spans="1:552" s="8" customFormat="1" ht="9.9499999999999993" customHeight="1" thickTop="1" thickBot="1" x14ac:dyDescent="0.3">
      <c r="A5" s="52"/>
      <c r="B5" s="52"/>
      <c r="C5" s="52"/>
      <c r="D5" s="52"/>
      <c r="E5" s="52"/>
      <c r="F5" s="52"/>
      <c r="G5" s="52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7"/>
      <c r="AK5" s="7"/>
      <c r="AL5" s="7"/>
      <c r="AM5" s="7"/>
      <c r="AN5" s="7"/>
      <c r="AO5" s="7"/>
      <c r="AP5" s="7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</row>
    <row r="6" spans="1:552" s="19" customFormat="1" ht="7.35" customHeight="1" x14ac:dyDescent="0.25">
      <c r="A6" s="5"/>
      <c r="B6" s="5"/>
      <c r="C6" s="5"/>
      <c r="D6" s="5"/>
      <c r="E6" s="5"/>
      <c r="F6" s="5"/>
      <c r="G6" s="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1"/>
      <c r="AK6" s="51"/>
      <c r="AL6" s="51"/>
      <c r="AM6" s="51"/>
      <c r="AN6" s="51"/>
      <c r="AO6" s="51"/>
      <c r="AP6" s="51"/>
    </row>
    <row r="7" spans="1:552" s="3" customFormat="1" ht="20.85" customHeight="1" x14ac:dyDescent="0.2">
      <c r="A7" s="332" t="s">
        <v>1</v>
      </c>
      <c r="B7" s="332"/>
      <c r="C7" s="332"/>
      <c r="D7" s="332"/>
      <c r="E7" s="418" t="s">
        <v>132</v>
      </c>
      <c r="F7" s="418"/>
      <c r="G7" s="418"/>
      <c r="H7" s="418"/>
      <c r="I7" s="418"/>
      <c r="J7" s="418"/>
      <c r="K7" s="418"/>
      <c r="L7" s="418"/>
      <c r="M7" s="418"/>
      <c r="N7" s="418"/>
      <c r="O7" s="55"/>
      <c r="P7" s="55"/>
      <c r="Q7" s="51"/>
      <c r="R7" s="419" t="s">
        <v>2</v>
      </c>
      <c r="S7" s="419"/>
      <c r="T7" s="419"/>
      <c r="U7" s="419"/>
      <c r="V7" s="73"/>
      <c r="W7" s="418">
        <v>500104</v>
      </c>
      <c r="X7" s="418"/>
      <c r="Y7" s="418"/>
      <c r="Z7" s="418"/>
      <c r="AA7" s="418"/>
      <c r="AB7" s="51"/>
      <c r="AC7" s="51"/>
      <c r="AF7" s="306" t="s">
        <v>72</v>
      </c>
      <c r="AG7" s="306"/>
      <c r="AH7" s="306"/>
      <c r="AI7" s="306"/>
      <c r="AJ7" s="306"/>
      <c r="AK7" s="305">
        <f>IF(WEEKDAY(K11)=1,K11,IF(WEEKDAY(K11)=2,K11-1,IF(WEEKDAY(K11)=3,K11-2,IF(WEEKDAY(K11)=4,K11-3,IF(WEEKDAY(K11)=5,K11-4,IF(WEEKDAY(K11)=6,K11-5,IF(ISBLANK(K11)," ",K11-6)))))))</f>
        <v>43835</v>
      </c>
      <c r="AL7" s="305"/>
      <c r="AM7" s="305"/>
      <c r="AN7" s="305"/>
      <c r="AO7" s="305"/>
      <c r="AP7" s="305"/>
      <c r="AQ7" s="86"/>
    </row>
    <row r="8" spans="1:552" s="3" customFormat="1" ht="8.85" customHeight="1" x14ac:dyDescent="0.25">
      <c r="A8" s="10"/>
      <c r="B8" s="10"/>
      <c r="C8" s="10"/>
      <c r="D8" s="10"/>
      <c r="E8" s="10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74"/>
      <c r="R8" s="74"/>
      <c r="S8" s="74"/>
      <c r="T8" s="74"/>
      <c r="U8" s="74"/>
      <c r="V8" s="6"/>
      <c r="W8" s="6"/>
      <c r="X8" s="6"/>
      <c r="Y8" s="6"/>
      <c r="Z8" s="6"/>
      <c r="AA8" s="6"/>
      <c r="AB8" s="9"/>
      <c r="AC8" s="30"/>
      <c r="AD8" s="30"/>
      <c r="AE8" s="30"/>
      <c r="AF8" s="30"/>
      <c r="AG8" s="30"/>
      <c r="AH8" s="30"/>
      <c r="AI8" s="56"/>
      <c r="AJ8" s="57"/>
      <c r="AK8" s="57"/>
      <c r="AL8" s="57"/>
      <c r="AM8" s="57"/>
      <c r="AN8" s="57"/>
      <c r="AO8" s="57"/>
      <c r="AP8" s="12"/>
      <c r="AU8" s="14"/>
    </row>
    <row r="9" spans="1:552" s="3" customFormat="1" ht="20.100000000000001" customHeight="1" x14ac:dyDescent="0.2">
      <c r="A9" s="419" t="s">
        <v>3</v>
      </c>
      <c r="B9" s="419"/>
      <c r="C9" s="419"/>
      <c r="D9" s="419"/>
      <c r="E9" s="418" t="s">
        <v>133</v>
      </c>
      <c r="F9" s="418"/>
      <c r="G9" s="418"/>
      <c r="H9" s="418"/>
      <c r="I9" s="418"/>
      <c r="J9" s="418"/>
      <c r="K9" s="418"/>
      <c r="L9" s="418"/>
      <c r="M9" s="418"/>
      <c r="N9" s="418"/>
      <c r="O9" s="58"/>
      <c r="P9" s="55"/>
      <c r="Q9" s="419" t="s">
        <v>4</v>
      </c>
      <c r="R9" s="419"/>
      <c r="S9" s="419"/>
      <c r="T9" s="419"/>
      <c r="U9" s="419"/>
      <c r="V9" s="419"/>
      <c r="W9" s="418" t="s">
        <v>133</v>
      </c>
      <c r="X9" s="418"/>
      <c r="Y9" s="418"/>
      <c r="Z9" s="418"/>
      <c r="AA9" s="418"/>
      <c r="AB9" s="418"/>
      <c r="AC9" s="418"/>
      <c r="AD9" s="423" t="s">
        <v>60</v>
      </c>
      <c r="AE9" s="423"/>
      <c r="AF9" s="423"/>
      <c r="AG9" s="423"/>
      <c r="AH9" s="423"/>
      <c r="AI9" s="423"/>
      <c r="AJ9" s="423"/>
      <c r="AK9" s="424" t="str">
        <f>IF(WEEKDAY(K11)=1,"Sunday",IF(WEEKDAY(K11)=2,"Monday",IF(WEEKDAY(K11)=3,"Tuesday",IF(WEEKDAY(K11)=4,"Wednesday",IF(WEEKDAY(K11)=5,"Thursday",IF(WEEKDAY(K11)=6,"Friday",IF(ISBLANK(K11)," ","Saturday")))))))</f>
        <v>Friday</v>
      </c>
      <c r="AL9" s="424"/>
      <c r="AM9" s="424"/>
      <c r="AN9" s="424"/>
      <c r="AO9" s="424"/>
      <c r="AP9" s="424"/>
    </row>
    <row r="10" spans="1:552" s="3" customFormat="1" ht="10.7" customHeight="1" x14ac:dyDescent="0.2">
      <c r="A10" s="28"/>
      <c r="B10" s="28"/>
      <c r="C10" s="28"/>
      <c r="D10" s="28"/>
      <c r="E10" s="2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74"/>
      <c r="R10" s="74"/>
      <c r="S10" s="74"/>
      <c r="T10" s="74"/>
      <c r="U10" s="74"/>
      <c r="V10" s="74"/>
      <c r="W10" s="16"/>
      <c r="X10" s="16"/>
      <c r="Y10" s="16"/>
      <c r="Z10" s="16"/>
      <c r="AA10" s="16"/>
      <c r="AB10" s="16"/>
      <c r="AC10" s="29"/>
      <c r="AD10" s="29"/>
      <c r="AE10" s="29"/>
      <c r="AF10" s="29"/>
      <c r="AG10" s="29"/>
      <c r="AH10" s="29"/>
      <c r="AI10" s="29"/>
      <c r="AJ10" s="17"/>
      <c r="AK10" s="17"/>
      <c r="AL10" s="17"/>
      <c r="AM10" s="17"/>
      <c r="AN10" s="17"/>
      <c r="AO10" s="17"/>
      <c r="AP10" s="13"/>
      <c r="AU10" s="18"/>
      <c r="AV10" s="18"/>
      <c r="AW10" s="18"/>
      <c r="AX10" s="18"/>
      <c r="AY10" s="18"/>
    </row>
    <row r="11" spans="1:552" s="3" customFormat="1" ht="18.600000000000001" customHeight="1" thickBot="1" x14ac:dyDescent="0.25">
      <c r="A11" s="22"/>
      <c r="B11" s="22"/>
      <c r="C11" s="22"/>
      <c r="D11" s="420" t="s">
        <v>9</v>
      </c>
      <c r="E11" s="421"/>
      <c r="F11" s="421"/>
      <c r="G11" s="421"/>
      <c r="H11" s="421"/>
      <c r="I11" s="421"/>
      <c r="J11" s="421"/>
      <c r="K11" s="422">
        <v>43840</v>
      </c>
      <c r="L11" s="422"/>
      <c r="M11" s="422"/>
      <c r="N11" s="422"/>
      <c r="O11" s="422"/>
      <c r="P11" s="422"/>
      <c r="Q11" s="58"/>
      <c r="R11" s="5"/>
      <c r="S11" s="333" t="s">
        <v>61</v>
      </c>
      <c r="T11" s="333"/>
      <c r="U11" s="333"/>
      <c r="V11" s="77"/>
      <c r="W11" s="59"/>
      <c r="X11" s="60" t="s">
        <v>10</v>
      </c>
      <c r="Y11" s="60"/>
      <c r="Z11" s="334">
        <v>0.48055555555555557</v>
      </c>
      <c r="AA11" s="334"/>
      <c r="AB11" s="334"/>
      <c r="AC11" s="61"/>
      <c r="AD11" s="62" t="s">
        <v>11</v>
      </c>
      <c r="AE11" s="334">
        <v>0.57986111111111105</v>
      </c>
      <c r="AF11" s="334"/>
      <c r="AG11" s="334"/>
      <c r="AH11" s="58" t="s">
        <v>12</v>
      </c>
      <c r="AI11" s="58"/>
      <c r="AJ11" s="58"/>
      <c r="AK11" s="58"/>
      <c r="AL11" s="58"/>
      <c r="AM11" s="58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</row>
    <row r="12" spans="1:552" s="2" customFormat="1" ht="1.3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</row>
    <row r="13" spans="1:552" s="21" customFormat="1" ht="7.35" customHeight="1" x14ac:dyDescent="0.25"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</row>
    <row r="14" spans="1:552" s="21" customFormat="1" ht="7.35" customHeight="1" x14ac:dyDescent="0.25"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</row>
    <row r="15" spans="1:552" s="21" customFormat="1" ht="18" customHeight="1" thickBot="1" x14ac:dyDescent="0.3"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345" t="s">
        <v>85</v>
      </c>
      <c r="P15" s="345"/>
      <c r="Q15" s="345"/>
      <c r="R15" s="345"/>
      <c r="S15" s="345"/>
      <c r="T15" s="345"/>
      <c r="U15" s="345"/>
      <c r="V15" s="345"/>
      <c r="W15" s="345"/>
      <c r="X15" s="345"/>
      <c r="Y15" s="345"/>
      <c r="Z15" s="345"/>
      <c r="AA15" s="345"/>
      <c r="AB15" s="346" t="s">
        <v>84</v>
      </c>
      <c r="AC15" s="346"/>
      <c r="AD15" s="346"/>
      <c r="AE15" s="346"/>
      <c r="AF15" s="346"/>
      <c r="AG15" s="346"/>
      <c r="AH15" s="346"/>
      <c r="AI15" s="346"/>
      <c r="AJ15" s="346"/>
      <c r="AK15" s="346"/>
      <c r="AL15" s="346"/>
      <c r="AM15" s="346"/>
      <c r="AN15" s="346"/>
      <c r="AO15" s="346"/>
      <c r="AP15" s="346"/>
    </row>
    <row r="16" spans="1:552" s="22" customFormat="1" ht="12.95" customHeight="1" thickTop="1" x14ac:dyDescent="0.2">
      <c r="A16" s="415" t="s">
        <v>14</v>
      </c>
      <c r="B16" s="405"/>
      <c r="C16" s="405"/>
      <c r="D16" s="405"/>
      <c r="E16" s="405"/>
      <c r="F16" s="402" t="s">
        <v>134</v>
      </c>
      <c r="G16" s="402"/>
      <c r="H16" s="402"/>
      <c r="I16" s="402"/>
      <c r="J16" s="402"/>
      <c r="K16" s="402"/>
      <c r="L16" s="402"/>
      <c r="M16" s="402"/>
      <c r="N16" s="402"/>
      <c r="O16" s="335" t="s">
        <v>15</v>
      </c>
      <c r="P16" s="336"/>
      <c r="Q16" s="336"/>
      <c r="R16" s="336"/>
      <c r="S16" s="336"/>
      <c r="T16" s="336"/>
      <c r="U16" s="357">
        <v>198525</v>
      </c>
      <c r="V16" s="357"/>
      <c r="W16" s="357"/>
      <c r="X16" s="357"/>
      <c r="Y16" s="357"/>
      <c r="Z16" s="357"/>
      <c r="AA16" s="357"/>
      <c r="AB16" s="357"/>
      <c r="AC16" s="335" t="s">
        <v>16</v>
      </c>
      <c r="AD16" s="336"/>
      <c r="AE16" s="336"/>
      <c r="AF16" s="336"/>
      <c r="AG16" s="336"/>
      <c r="AH16" s="336"/>
      <c r="AI16" s="336"/>
      <c r="AJ16" s="87"/>
      <c r="AK16" s="357">
        <v>1152670023</v>
      </c>
      <c r="AL16" s="357"/>
      <c r="AM16" s="357"/>
      <c r="AN16" s="357"/>
      <c r="AO16" s="357"/>
      <c r="AP16" s="358"/>
    </row>
    <row r="17" spans="1:86" s="22" customFormat="1" ht="12.95" customHeight="1" x14ac:dyDescent="0.2">
      <c r="A17" s="416"/>
      <c r="B17" s="417"/>
      <c r="C17" s="417"/>
      <c r="D17" s="417"/>
      <c r="E17" s="417"/>
      <c r="F17" s="403"/>
      <c r="G17" s="403"/>
      <c r="H17" s="403"/>
      <c r="I17" s="403"/>
      <c r="J17" s="403"/>
      <c r="K17" s="403"/>
      <c r="L17" s="403"/>
      <c r="M17" s="403"/>
      <c r="N17" s="403"/>
      <c r="O17" s="337"/>
      <c r="P17" s="338"/>
      <c r="Q17" s="338"/>
      <c r="R17" s="338"/>
      <c r="S17" s="338"/>
      <c r="T17" s="338"/>
      <c r="U17" s="359"/>
      <c r="V17" s="359"/>
      <c r="W17" s="359"/>
      <c r="X17" s="359"/>
      <c r="Y17" s="359"/>
      <c r="Z17" s="359"/>
      <c r="AA17" s="359"/>
      <c r="AB17" s="359"/>
      <c r="AC17" s="337"/>
      <c r="AD17" s="338"/>
      <c r="AE17" s="338"/>
      <c r="AF17" s="338"/>
      <c r="AG17" s="338"/>
      <c r="AH17" s="338"/>
      <c r="AI17" s="338"/>
      <c r="AJ17" s="88"/>
      <c r="AK17" s="359"/>
      <c r="AL17" s="359"/>
      <c r="AM17" s="359"/>
      <c r="AN17" s="359"/>
      <c r="AO17" s="359"/>
      <c r="AP17" s="360"/>
    </row>
    <row r="18" spans="1:86" s="22" customFormat="1" ht="12.95" customHeight="1" x14ac:dyDescent="0.2">
      <c r="A18" s="372"/>
      <c r="B18" s="355" t="s">
        <v>28</v>
      </c>
      <c r="C18" s="355"/>
      <c r="D18" s="355"/>
      <c r="E18" s="355"/>
      <c r="F18" s="355"/>
      <c r="G18" s="355"/>
      <c r="H18" s="355"/>
      <c r="I18" s="355"/>
      <c r="J18" s="355"/>
      <c r="K18" s="355"/>
      <c r="L18" s="329">
        <v>43452</v>
      </c>
      <c r="M18" s="326"/>
      <c r="N18" s="326"/>
      <c r="O18" s="326"/>
      <c r="P18" s="326"/>
      <c r="Q18" s="343"/>
      <c r="R18" s="326">
        <v>43777</v>
      </c>
      <c r="S18" s="326"/>
      <c r="T18" s="326"/>
      <c r="U18" s="326"/>
      <c r="V18" s="326"/>
      <c r="W18" s="413"/>
      <c r="X18" s="355" t="s">
        <v>103</v>
      </c>
      <c r="Y18" s="355"/>
      <c r="Z18" s="355"/>
      <c r="AA18" s="355"/>
      <c r="AB18" s="355"/>
      <c r="AC18" s="355"/>
      <c r="AD18" s="355"/>
      <c r="AE18" s="355"/>
      <c r="AF18" s="329">
        <v>43725</v>
      </c>
      <c r="AG18" s="326"/>
      <c r="AH18" s="326"/>
      <c r="AI18" s="326"/>
      <c r="AJ18" s="326"/>
      <c r="AK18" s="343"/>
      <c r="AL18" s="329">
        <v>43776</v>
      </c>
      <c r="AM18" s="326"/>
      <c r="AN18" s="326"/>
      <c r="AO18" s="326"/>
      <c r="AP18" s="365"/>
    </row>
    <row r="19" spans="1:86" s="22" customFormat="1" ht="12.95" customHeight="1" thickBot="1" x14ac:dyDescent="0.25">
      <c r="A19" s="373"/>
      <c r="B19" s="356"/>
      <c r="C19" s="356"/>
      <c r="D19" s="356"/>
      <c r="E19" s="356"/>
      <c r="F19" s="356"/>
      <c r="G19" s="356"/>
      <c r="H19" s="356"/>
      <c r="I19" s="356"/>
      <c r="J19" s="356"/>
      <c r="K19" s="356"/>
      <c r="L19" s="327"/>
      <c r="M19" s="327"/>
      <c r="N19" s="327"/>
      <c r="O19" s="327"/>
      <c r="P19" s="327"/>
      <c r="Q19" s="344"/>
      <c r="R19" s="327"/>
      <c r="S19" s="327"/>
      <c r="T19" s="327"/>
      <c r="U19" s="327"/>
      <c r="V19" s="327"/>
      <c r="W19" s="414"/>
      <c r="X19" s="356"/>
      <c r="Y19" s="356"/>
      <c r="Z19" s="356"/>
      <c r="AA19" s="356"/>
      <c r="AB19" s="356"/>
      <c r="AC19" s="356"/>
      <c r="AD19" s="356"/>
      <c r="AE19" s="356"/>
      <c r="AF19" s="327"/>
      <c r="AG19" s="327"/>
      <c r="AH19" s="327"/>
      <c r="AI19" s="327"/>
      <c r="AJ19" s="327"/>
      <c r="AK19" s="344"/>
      <c r="AL19" s="327"/>
      <c r="AM19" s="327"/>
      <c r="AN19" s="327"/>
      <c r="AO19" s="327"/>
      <c r="AP19" s="366"/>
    </row>
    <row r="20" spans="1:86" s="21" customFormat="1" ht="7.35" customHeight="1" thickTop="1" x14ac:dyDescent="0.25"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</row>
    <row r="21" spans="1:86" s="21" customFormat="1" ht="7.35" customHeight="1" x14ac:dyDescent="0.25"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</row>
    <row r="22" spans="1:86" s="21" customFormat="1" ht="18" customHeight="1" thickBot="1" x14ac:dyDescent="0.3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367" t="s">
        <v>86</v>
      </c>
      <c r="P22" s="367"/>
      <c r="Q22" s="367"/>
      <c r="R22" s="367"/>
      <c r="S22" s="367"/>
      <c r="T22" s="367"/>
      <c r="U22" s="367"/>
      <c r="V22" s="367"/>
      <c r="W22" s="367"/>
      <c r="X22" s="367"/>
      <c r="Y22" s="367"/>
      <c r="Z22" s="367"/>
      <c r="AA22" s="367"/>
      <c r="AC22" s="368" t="s">
        <v>87</v>
      </c>
      <c r="AD22" s="368"/>
      <c r="AE22" s="368"/>
      <c r="AF22" s="368"/>
      <c r="AG22" s="368"/>
      <c r="AH22" s="368"/>
      <c r="AI22" s="368"/>
      <c r="AJ22" s="368"/>
      <c r="AK22" s="368"/>
      <c r="AL22" s="368"/>
      <c r="AM22" s="368"/>
      <c r="AN22" s="368"/>
      <c r="AO22" s="368"/>
      <c r="AP22" s="368"/>
    </row>
    <row r="23" spans="1:86" s="21" customFormat="1" ht="12.2" customHeight="1" thickTop="1" x14ac:dyDescent="0.25">
      <c r="A23" s="411" t="s">
        <v>75</v>
      </c>
      <c r="B23" s="348"/>
      <c r="C23" s="348"/>
      <c r="D23" s="348"/>
      <c r="E23" s="348"/>
      <c r="F23" s="348"/>
      <c r="G23" s="348"/>
      <c r="H23" s="348"/>
      <c r="I23" s="351" t="s">
        <v>139</v>
      </c>
      <c r="J23" s="351"/>
      <c r="K23" s="351"/>
      <c r="L23" s="351"/>
      <c r="M23" s="351"/>
      <c r="N23" s="352"/>
      <c r="O23" s="347" t="s">
        <v>76</v>
      </c>
      <c r="P23" s="348"/>
      <c r="Q23" s="348"/>
      <c r="R23" s="348"/>
      <c r="S23" s="348"/>
      <c r="T23" s="348"/>
      <c r="U23" s="348"/>
      <c r="V23" s="348"/>
      <c r="W23" s="348"/>
      <c r="X23" s="351" t="s">
        <v>141</v>
      </c>
      <c r="Y23" s="351"/>
      <c r="Z23" s="351"/>
      <c r="AA23" s="351"/>
      <c r="AB23" s="351"/>
      <c r="AC23" s="352"/>
      <c r="AD23" s="280" t="s">
        <v>77</v>
      </c>
      <c r="AE23" s="281"/>
      <c r="AF23" s="281"/>
      <c r="AG23" s="281"/>
      <c r="AH23" s="281"/>
      <c r="AI23" s="281"/>
      <c r="AJ23" s="281"/>
      <c r="AK23" s="281"/>
      <c r="AL23" s="281"/>
      <c r="AM23" s="284">
        <v>9900</v>
      </c>
      <c r="AN23" s="284"/>
      <c r="AO23" s="284"/>
      <c r="AP23" s="285"/>
    </row>
    <row r="24" spans="1:86" s="21" customFormat="1" ht="12.2" customHeight="1" x14ac:dyDescent="0.25">
      <c r="A24" s="412"/>
      <c r="B24" s="350"/>
      <c r="C24" s="350"/>
      <c r="D24" s="350"/>
      <c r="E24" s="350"/>
      <c r="F24" s="350"/>
      <c r="G24" s="350"/>
      <c r="H24" s="350"/>
      <c r="I24" s="353"/>
      <c r="J24" s="353"/>
      <c r="K24" s="353"/>
      <c r="L24" s="353"/>
      <c r="M24" s="353"/>
      <c r="N24" s="354"/>
      <c r="O24" s="349"/>
      <c r="P24" s="350"/>
      <c r="Q24" s="350"/>
      <c r="R24" s="350"/>
      <c r="S24" s="350"/>
      <c r="T24" s="350"/>
      <c r="U24" s="350"/>
      <c r="V24" s="350"/>
      <c r="W24" s="350"/>
      <c r="X24" s="353"/>
      <c r="Y24" s="353"/>
      <c r="Z24" s="353"/>
      <c r="AA24" s="353"/>
      <c r="AB24" s="353"/>
      <c r="AC24" s="354"/>
      <c r="AD24" s="282"/>
      <c r="AE24" s="283"/>
      <c r="AF24" s="283"/>
      <c r="AG24" s="283"/>
      <c r="AH24" s="283"/>
      <c r="AI24" s="283"/>
      <c r="AJ24" s="283"/>
      <c r="AK24" s="283"/>
      <c r="AL24" s="283"/>
      <c r="AM24" s="286"/>
      <c r="AN24" s="286"/>
      <c r="AO24" s="286"/>
      <c r="AP24" s="287"/>
    </row>
    <row r="25" spans="1:86" ht="12.2" customHeight="1" x14ac:dyDescent="0.25">
      <c r="A25" s="372" t="s">
        <v>73</v>
      </c>
      <c r="B25" s="376"/>
      <c r="C25" s="376"/>
      <c r="D25" s="376"/>
      <c r="E25" s="376"/>
      <c r="F25" s="376"/>
      <c r="G25" s="376"/>
      <c r="H25" s="376"/>
      <c r="I25" s="376"/>
      <c r="J25" s="376"/>
      <c r="K25" s="376"/>
      <c r="L25" s="376"/>
      <c r="M25" s="376"/>
      <c r="N25" s="376"/>
      <c r="O25" s="326">
        <v>43698</v>
      </c>
      <c r="P25" s="326"/>
      <c r="Q25" s="326"/>
      <c r="R25" s="326"/>
      <c r="S25" s="326"/>
      <c r="T25" s="326"/>
      <c r="U25" s="374" t="s">
        <v>41</v>
      </c>
      <c r="V25" s="374"/>
      <c r="W25" s="374"/>
      <c r="X25" s="326">
        <v>43888</v>
      </c>
      <c r="Y25" s="326"/>
      <c r="Z25" s="326"/>
      <c r="AA25" s="326"/>
      <c r="AB25" s="326"/>
      <c r="AC25" s="326"/>
      <c r="AD25" s="339" t="s">
        <v>74</v>
      </c>
      <c r="AE25" s="340"/>
      <c r="AF25" s="340"/>
      <c r="AG25" s="340"/>
      <c r="AH25" s="340"/>
      <c r="AI25" s="340"/>
      <c r="AJ25" s="340"/>
      <c r="AK25" s="340"/>
      <c r="AL25" s="340"/>
      <c r="AM25" s="361" t="s">
        <v>140</v>
      </c>
      <c r="AN25" s="361"/>
      <c r="AO25" s="361"/>
      <c r="AP25" s="362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5"/>
      <c r="CH25" s="25"/>
    </row>
    <row r="26" spans="1:86" ht="12.2" customHeight="1" thickBot="1" x14ac:dyDescent="0.3">
      <c r="A26" s="373"/>
      <c r="B26" s="377"/>
      <c r="C26" s="377"/>
      <c r="D26" s="377"/>
      <c r="E26" s="377"/>
      <c r="F26" s="377"/>
      <c r="G26" s="377"/>
      <c r="H26" s="377"/>
      <c r="I26" s="377"/>
      <c r="J26" s="377"/>
      <c r="K26" s="377"/>
      <c r="L26" s="377"/>
      <c r="M26" s="377"/>
      <c r="N26" s="377"/>
      <c r="O26" s="327"/>
      <c r="P26" s="327"/>
      <c r="Q26" s="327"/>
      <c r="R26" s="327"/>
      <c r="S26" s="327"/>
      <c r="T26" s="327"/>
      <c r="U26" s="375"/>
      <c r="V26" s="375"/>
      <c r="W26" s="375"/>
      <c r="X26" s="327"/>
      <c r="Y26" s="327"/>
      <c r="Z26" s="327"/>
      <c r="AA26" s="327"/>
      <c r="AB26" s="327"/>
      <c r="AC26" s="327"/>
      <c r="AD26" s="341"/>
      <c r="AE26" s="342"/>
      <c r="AF26" s="342"/>
      <c r="AG26" s="342"/>
      <c r="AH26" s="342"/>
      <c r="AI26" s="342"/>
      <c r="AJ26" s="342"/>
      <c r="AK26" s="342"/>
      <c r="AL26" s="342"/>
      <c r="AM26" s="363"/>
      <c r="AN26" s="363"/>
      <c r="AO26" s="363"/>
      <c r="AP26" s="364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5"/>
      <c r="CH26" s="25"/>
    </row>
    <row r="27" spans="1:86" ht="7.35" customHeight="1" thickTop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CG27" s="25"/>
      <c r="CH27" s="25"/>
    </row>
    <row r="28" spans="1:86" s="21" customFormat="1" ht="7.3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93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CG28" s="25"/>
      <c r="CH28" s="25"/>
    </row>
    <row r="29" spans="1:86" ht="18" customHeight="1" thickBot="1" x14ac:dyDescent="0.3"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252" t="s">
        <v>30</v>
      </c>
      <c r="R29" s="252"/>
      <c r="S29" s="252"/>
      <c r="T29" s="252"/>
      <c r="U29" s="252"/>
      <c r="V29" s="252"/>
      <c r="W29" s="252"/>
      <c r="X29" s="252"/>
      <c r="Y29" s="252"/>
      <c r="Z29" s="252"/>
      <c r="AA29" s="385" t="s">
        <v>90</v>
      </c>
      <c r="AB29" s="385"/>
      <c r="AC29" s="385"/>
      <c r="AD29" s="385"/>
      <c r="AE29" s="385"/>
      <c r="AF29" s="385"/>
      <c r="AG29" s="385"/>
      <c r="AH29" s="385"/>
      <c r="AI29" s="385"/>
      <c r="AJ29" s="385"/>
      <c r="AK29" s="385"/>
      <c r="AL29" s="385"/>
      <c r="AM29" s="385"/>
      <c r="AN29" s="385"/>
      <c r="AO29" s="385"/>
      <c r="AP29" s="385"/>
      <c r="AQ29" s="34"/>
      <c r="AR29" s="34"/>
      <c r="AS29" s="34"/>
      <c r="AT29" s="34"/>
      <c r="AU29" s="34"/>
      <c r="AV29" s="35"/>
      <c r="AW29" s="35"/>
      <c r="AX29" s="35"/>
      <c r="AY29" s="35"/>
      <c r="AZ29" s="36"/>
      <c r="BA29" s="36"/>
      <c r="BB29" s="36"/>
      <c r="BC29" s="36"/>
      <c r="BD29" s="36"/>
      <c r="BE29" s="20"/>
      <c r="BF29" s="31"/>
      <c r="BG29" s="31"/>
      <c r="BH29" s="31"/>
      <c r="BI29" s="31"/>
      <c r="BJ29" s="38"/>
      <c r="BK29" s="38"/>
      <c r="BL29" s="38"/>
      <c r="BM29" s="38"/>
      <c r="BN29" s="27"/>
      <c r="BO29" s="27"/>
      <c r="BP29" s="27"/>
      <c r="BQ29" s="27"/>
      <c r="BR29" s="27"/>
      <c r="BS29" s="34"/>
      <c r="BT29" s="34"/>
      <c r="BU29" s="34"/>
      <c r="BV29" s="34"/>
      <c r="BW29" s="34"/>
      <c r="BX29" s="35"/>
      <c r="BY29" s="35"/>
      <c r="BZ29" s="35"/>
      <c r="CA29" s="35"/>
      <c r="CB29" s="37"/>
      <c r="CC29" s="37"/>
      <c r="CD29" s="37"/>
      <c r="CE29" s="37"/>
      <c r="CF29" s="37"/>
    </row>
    <row r="30" spans="1:86" s="21" customFormat="1" ht="12.2" customHeight="1" thickTop="1" x14ac:dyDescent="0.25">
      <c r="A30" s="380" t="s">
        <v>64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2"/>
      <c r="M30" s="79"/>
      <c r="N30" s="79"/>
      <c r="O30" s="79"/>
      <c r="P30" s="307" t="s">
        <v>35</v>
      </c>
      <c r="Q30" s="307"/>
      <c r="R30" s="307"/>
      <c r="S30" s="307"/>
      <c r="T30" s="307"/>
      <c r="U30" s="307"/>
      <c r="V30" s="307"/>
      <c r="W30" s="307"/>
      <c r="X30" s="307"/>
      <c r="Y30" s="307"/>
      <c r="Z30" s="307"/>
      <c r="AA30" s="307"/>
      <c r="AB30" s="307"/>
      <c r="AC30" s="307"/>
      <c r="AD30" s="307"/>
      <c r="AE30" s="307"/>
      <c r="AF30" s="307"/>
      <c r="AG30" s="307"/>
      <c r="AH30" s="79"/>
      <c r="AI30" s="79"/>
      <c r="AJ30" s="308"/>
      <c r="AK30" s="309"/>
      <c r="AL30" s="309"/>
      <c r="AM30" s="309"/>
      <c r="AN30" s="309"/>
      <c r="AO30" s="309"/>
      <c r="AP30" s="310"/>
      <c r="AQ30" s="39"/>
      <c r="AR30" s="39"/>
      <c r="AS30" s="39"/>
      <c r="AT30" s="39"/>
      <c r="AU30" s="39"/>
      <c r="AV30" s="38"/>
      <c r="AW30" s="38"/>
      <c r="AX30" s="38"/>
      <c r="AY30" s="38"/>
      <c r="AZ30" s="40"/>
      <c r="BA30" s="40"/>
      <c r="BB30" s="40"/>
      <c r="BC30" s="40"/>
      <c r="BD30" s="40"/>
      <c r="BE30" s="31"/>
      <c r="BF30" s="31"/>
      <c r="BG30" s="31"/>
      <c r="BH30" s="31"/>
      <c r="BI30" s="31"/>
      <c r="BJ30" s="38"/>
      <c r="BK30" s="38"/>
      <c r="BL30" s="38"/>
      <c r="BM30" s="38"/>
      <c r="BN30" s="27"/>
      <c r="BO30" s="27"/>
      <c r="BP30" s="27"/>
      <c r="BQ30" s="27"/>
      <c r="BR30" s="27"/>
      <c r="BS30" s="34"/>
      <c r="BT30" s="34"/>
      <c r="BU30" s="34"/>
      <c r="BV30" s="34"/>
      <c r="BW30" s="34"/>
      <c r="BX30" s="41"/>
      <c r="BY30" s="41"/>
      <c r="BZ30" s="41"/>
      <c r="CA30" s="41"/>
      <c r="CB30" s="27"/>
      <c r="CC30" s="27"/>
      <c r="CD30" s="27"/>
      <c r="CE30" s="27"/>
      <c r="CF30" s="27"/>
    </row>
    <row r="31" spans="1:86" ht="12.2" customHeight="1" x14ac:dyDescent="0.25">
      <c r="A31" s="38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84"/>
      <c r="M31" s="66"/>
      <c r="N31" s="66"/>
      <c r="O31" s="66"/>
      <c r="P31" s="220"/>
      <c r="Q31" s="220"/>
      <c r="R31" s="220"/>
      <c r="S31" s="220"/>
      <c r="T31" s="220"/>
      <c r="U31" s="220"/>
      <c r="V31" s="220"/>
      <c r="W31" s="220"/>
      <c r="X31" s="220"/>
      <c r="Y31" s="267"/>
      <c r="Z31" s="267"/>
      <c r="AA31" s="267"/>
      <c r="AB31" s="267"/>
      <c r="AC31" s="267"/>
      <c r="AD31" s="220"/>
      <c r="AE31" s="220"/>
      <c r="AF31" s="220"/>
      <c r="AG31" s="220"/>
      <c r="AH31" s="66"/>
      <c r="AI31" s="66"/>
      <c r="AJ31" s="311"/>
      <c r="AK31" s="312"/>
      <c r="AL31" s="312"/>
      <c r="AM31" s="312"/>
      <c r="AN31" s="312"/>
      <c r="AO31" s="312"/>
      <c r="AP31" s="313"/>
    </row>
    <row r="32" spans="1:86" s="21" customFormat="1" ht="9.9499999999999993" customHeight="1" x14ac:dyDescent="0.25">
      <c r="A32" s="80"/>
      <c r="B32" s="68"/>
      <c r="C32" s="68"/>
      <c r="D32" s="388" t="s">
        <v>65</v>
      </c>
      <c r="E32" s="388"/>
      <c r="F32" s="388"/>
      <c r="G32" s="388"/>
      <c r="H32" s="388"/>
      <c r="I32" s="388"/>
      <c r="J32" s="68"/>
      <c r="K32" s="68"/>
      <c r="L32" s="69"/>
      <c r="M32" s="322" t="s">
        <v>88</v>
      </c>
      <c r="N32" s="323"/>
      <c r="O32" s="323"/>
      <c r="P32" s="245" t="s">
        <v>38</v>
      </c>
      <c r="Q32" s="245"/>
      <c r="R32" s="246"/>
      <c r="S32" s="268" t="s">
        <v>32</v>
      </c>
      <c r="T32" s="239"/>
      <c r="U32" s="239"/>
      <c r="V32" s="239"/>
      <c r="W32" s="239"/>
      <c r="X32" s="390"/>
      <c r="Y32" s="303" t="s">
        <v>104</v>
      </c>
      <c r="Z32" s="303"/>
      <c r="AA32" s="303"/>
      <c r="AB32" s="303"/>
      <c r="AC32" s="303"/>
      <c r="AD32" s="322" t="s">
        <v>71</v>
      </c>
      <c r="AE32" s="323"/>
      <c r="AF32" s="323"/>
      <c r="AG32" s="245" t="s">
        <v>39</v>
      </c>
      <c r="AH32" s="245"/>
      <c r="AI32" s="246"/>
      <c r="AJ32" s="316" t="s">
        <v>29</v>
      </c>
      <c r="AK32" s="317"/>
      <c r="AL32" s="317"/>
      <c r="AM32" s="317"/>
      <c r="AN32" s="317"/>
      <c r="AO32" s="317"/>
      <c r="AP32" s="318"/>
    </row>
    <row r="33" spans="1:552" ht="9.1999999999999993" customHeight="1" x14ac:dyDescent="0.25">
      <c r="A33" s="81"/>
      <c r="B33" s="67"/>
      <c r="C33" s="67"/>
      <c r="D33" s="389"/>
      <c r="E33" s="389"/>
      <c r="F33" s="389"/>
      <c r="G33" s="389"/>
      <c r="H33" s="389"/>
      <c r="I33" s="389"/>
      <c r="J33" s="67"/>
      <c r="K33" s="67"/>
      <c r="L33" s="70"/>
      <c r="M33" s="324"/>
      <c r="N33" s="325"/>
      <c r="O33" s="325"/>
      <c r="P33" s="197" t="s">
        <v>32</v>
      </c>
      <c r="Q33" s="197"/>
      <c r="R33" s="247"/>
      <c r="S33" s="269"/>
      <c r="T33" s="220"/>
      <c r="U33" s="220"/>
      <c r="V33" s="220"/>
      <c r="W33" s="220"/>
      <c r="X33" s="391"/>
      <c r="Y33" s="303"/>
      <c r="Z33" s="303"/>
      <c r="AA33" s="303"/>
      <c r="AB33" s="303"/>
      <c r="AC33" s="303"/>
      <c r="AD33" s="324"/>
      <c r="AE33" s="325"/>
      <c r="AF33" s="325"/>
      <c r="AG33" s="197" t="s">
        <v>32</v>
      </c>
      <c r="AH33" s="197"/>
      <c r="AI33" s="247"/>
      <c r="AJ33" s="319"/>
      <c r="AK33" s="320"/>
      <c r="AL33" s="320"/>
      <c r="AM33" s="320"/>
      <c r="AN33" s="320"/>
      <c r="AO33" s="320"/>
      <c r="AP33" s="321"/>
    </row>
    <row r="34" spans="1:552" ht="12.2" customHeight="1" x14ac:dyDescent="0.25">
      <c r="A34" s="82"/>
      <c r="B34" s="239" t="s">
        <v>31</v>
      </c>
      <c r="C34" s="239"/>
      <c r="D34" s="239"/>
      <c r="E34" s="75"/>
      <c r="F34" s="181">
        <v>183.4</v>
      </c>
      <c r="G34" s="181"/>
      <c r="H34" s="181"/>
      <c r="I34" s="181"/>
      <c r="J34" s="245" t="s">
        <v>33</v>
      </c>
      <c r="K34" s="245"/>
      <c r="L34" s="246"/>
      <c r="M34" s="181">
        <v>0.05</v>
      </c>
      <c r="N34" s="181"/>
      <c r="O34" s="181"/>
      <c r="P34" s="181"/>
      <c r="Q34" s="181"/>
      <c r="R34" s="182"/>
      <c r="S34" s="177">
        <v>121</v>
      </c>
      <c r="T34" s="177"/>
      <c r="U34" s="177"/>
      <c r="V34" s="177"/>
      <c r="W34" s="177"/>
      <c r="X34" s="177"/>
      <c r="Y34" s="270">
        <f>IF(AND(ISNUMBER(F34),ISNUMBER(S34)),ROUND(((S34-F34)/F34)*100,1)*1," ")</f>
        <v>-34</v>
      </c>
      <c r="Z34" s="270"/>
      <c r="AA34" s="270"/>
      <c r="AB34" s="270"/>
      <c r="AC34" s="270"/>
      <c r="AD34" s="180">
        <v>0.01</v>
      </c>
      <c r="AE34" s="181"/>
      <c r="AF34" s="181"/>
      <c r="AG34" s="181"/>
      <c r="AH34" s="181"/>
      <c r="AI34" s="182"/>
      <c r="AJ34" s="294">
        <f>IF(OR(ISBLANK(M34),ISBLANK(M36),ISBLANK(AD34),ISBLANK(AD36))," ",IF(AND(ISNUMBER(K11),ISNUMBER(Y34),ISNUMBER(Y36)),K11," "))</f>
        <v>43840</v>
      </c>
      <c r="AK34" s="254"/>
      <c r="AL34" s="254"/>
      <c r="AM34" s="254"/>
      <c r="AN34" s="254"/>
      <c r="AO34" s="254"/>
      <c r="AP34" s="295"/>
    </row>
    <row r="35" spans="1:552" ht="12.2" customHeight="1" x14ac:dyDescent="0.25">
      <c r="A35" s="83"/>
      <c r="B35" s="220"/>
      <c r="C35" s="220"/>
      <c r="D35" s="220"/>
      <c r="E35" s="72"/>
      <c r="F35" s="184"/>
      <c r="G35" s="184"/>
      <c r="H35" s="184"/>
      <c r="I35" s="184"/>
      <c r="J35" s="197"/>
      <c r="K35" s="197"/>
      <c r="L35" s="247"/>
      <c r="M35" s="184"/>
      <c r="N35" s="184"/>
      <c r="O35" s="184"/>
      <c r="P35" s="184"/>
      <c r="Q35" s="184"/>
      <c r="R35" s="185"/>
      <c r="S35" s="178"/>
      <c r="T35" s="178"/>
      <c r="U35" s="178"/>
      <c r="V35" s="178"/>
      <c r="W35" s="178"/>
      <c r="X35" s="178"/>
      <c r="Y35" s="270"/>
      <c r="Z35" s="270"/>
      <c r="AA35" s="270"/>
      <c r="AB35" s="270"/>
      <c r="AC35" s="270"/>
      <c r="AD35" s="183"/>
      <c r="AE35" s="184"/>
      <c r="AF35" s="184"/>
      <c r="AG35" s="184"/>
      <c r="AH35" s="184"/>
      <c r="AI35" s="185"/>
      <c r="AJ35" s="296"/>
      <c r="AK35" s="297"/>
      <c r="AL35" s="297"/>
      <c r="AM35" s="297"/>
      <c r="AN35" s="297"/>
      <c r="AO35" s="297"/>
      <c r="AP35" s="298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</row>
    <row r="36" spans="1:552" ht="12.2" customHeight="1" x14ac:dyDescent="0.25">
      <c r="A36" s="82"/>
      <c r="B36" s="239" t="s">
        <v>130</v>
      </c>
      <c r="C36" s="239"/>
      <c r="D36" s="239"/>
      <c r="E36" s="75"/>
      <c r="F36" s="181">
        <v>182.2</v>
      </c>
      <c r="G36" s="181"/>
      <c r="H36" s="181"/>
      <c r="I36" s="181"/>
      <c r="J36" s="245" t="s">
        <v>33</v>
      </c>
      <c r="K36" s="245"/>
      <c r="L36" s="246"/>
      <c r="M36" s="181">
        <v>0.9</v>
      </c>
      <c r="N36" s="181"/>
      <c r="O36" s="181"/>
      <c r="P36" s="181"/>
      <c r="Q36" s="181"/>
      <c r="R36" s="182"/>
      <c r="S36" s="177">
        <v>174</v>
      </c>
      <c r="T36" s="177"/>
      <c r="U36" s="177"/>
      <c r="V36" s="177"/>
      <c r="W36" s="177"/>
      <c r="X36" s="177"/>
      <c r="Y36" s="270">
        <f>IF(AND(ISNUMBER(F36),ISNUMBER(S36)),ROUND(((S36-F36)/F36)*100,1)*1," ")</f>
        <v>-4.5</v>
      </c>
      <c r="Z36" s="270"/>
      <c r="AA36" s="270"/>
      <c r="AB36" s="270"/>
      <c r="AC36" s="270"/>
      <c r="AD36" s="180">
        <v>0.52</v>
      </c>
      <c r="AE36" s="181"/>
      <c r="AF36" s="181"/>
      <c r="AG36" s="181"/>
      <c r="AH36" s="181"/>
      <c r="AI36" s="182"/>
      <c r="AJ36" s="296"/>
      <c r="AK36" s="297"/>
      <c r="AL36" s="297"/>
      <c r="AM36" s="297"/>
      <c r="AN36" s="297"/>
      <c r="AO36" s="297"/>
      <c r="AP36" s="298"/>
      <c r="AQ36" s="34"/>
      <c r="AR36" s="34"/>
      <c r="AS36" s="34"/>
      <c r="AT36" s="34"/>
      <c r="AU36" s="34"/>
      <c r="AV36" s="38"/>
      <c r="AW36" s="38"/>
      <c r="AX36" s="38"/>
      <c r="AY36" s="38"/>
      <c r="AZ36" s="27"/>
      <c r="BA36" s="27"/>
      <c r="BB36" s="27"/>
      <c r="BC36" s="27"/>
      <c r="BD36" s="27"/>
      <c r="BE36" s="31"/>
      <c r="BF36" s="31"/>
      <c r="BG36" s="31"/>
      <c r="BH36" s="31"/>
      <c r="BI36" s="31"/>
      <c r="BJ36" s="35"/>
      <c r="BK36" s="35"/>
      <c r="BL36" s="35"/>
      <c r="BM36" s="35"/>
      <c r="BN36" s="27"/>
      <c r="BO36" s="27"/>
      <c r="BP36" s="27"/>
      <c r="BQ36" s="27"/>
      <c r="BR36" s="27"/>
      <c r="BS36" s="39"/>
      <c r="BT36" s="39"/>
      <c r="BU36" s="39"/>
      <c r="BV36" s="39"/>
      <c r="BW36" s="39"/>
      <c r="BX36" s="42"/>
      <c r="BY36" s="42"/>
      <c r="BZ36" s="42"/>
      <c r="CA36" s="42"/>
      <c r="CB36" s="43"/>
      <c r="CC36" s="43"/>
      <c r="CD36" s="43"/>
      <c r="CE36" s="43"/>
      <c r="CF36" s="43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</row>
    <row r="37" spans="1:552" ht="12.2" customHeight="1" thickBot="1" x14ac:dyDescent="0.3">
      <c r="A37" s="84"/>
      <c r="B37" s="369"/>
      <c r="C37" s="369"/>
      <c r="D37" s="369"/>
      <c r="E37" s="76"/>
      <c r="F37" s="187"/>
      <c r="G37" s="187"/>
      <c r="H37" s="187"/>
      <c r="I37" s="187"/>
      <c r="J37" s="378"/>
      <c r="K37" s="378"/>
      <c r="L37" s="379"/>
      <c r="M37" s="187"/>
      <c r="N37" s="187"/>
      <c r="O37" s="187"/>
      <c r="P37" s="187"/>
      <c r="Q37" s="187"/>
      <c r="R37" s="188"/>
      <c r="S37" s="179"/>
      <c r="T37" s="179"/>
      <c r="U37" s="179"/>
      <c r="V37" s="179"/>
      <c r="W37" s="179"/>
      <c r="X37" s="179"/>
      <c r="Y37" s="330"/>
      <c r="Z37" s="330"/>
      <c r="AA37" s="330"/>
      <c r="AB37" s="330"/>
      <c r="AC37" s="330"/>
      <c r="AD37" s="186"/>
      <c r="AE37" s="187"/>
      <c r="AF37" s="187"/>
      <c r="AG37" s="187"/>
      <c r="AH37" s="187"/>
      <c r="AI37" s="188"/>
      <c r="AJ37" s="299"/>
      <c r="AK37" s="257"/>
      <c r="AL37" s="257"/>
      <c r="AM37" s="257"/>
      <c r="AN37" s="257"/>
      <c r="AO37" s="257"/>
      <c r="AP37" s="300"/>
      <c r="AQ37" s="34"/>
      <c r="AR37" s="34"/>
      <c r="AS37" s="34"/>
      <c r="AT37" s="34"/>
      <c r="AU37" s="34"/>
      <c r="AV37" s="38"/>
      <c r="AW37" s="38"/>
      <c r="AX37" s="38"/>
      <c r="AY37" s="38"/>
      <c r="AZ37" s="27"/>
      <c r="BA37" s="27"/>
      <c r="BB37" s="27"/>
      <c r="BC37" s="27"/>
      <c r="BD37" s="27"/>
      <c r="BE37" s="32"/>
      <c r="BF37" s="31"/>
      <c r="BG37" s="32"/>
      <c r="BH37" s="32"/>
      <c r="BI37" s="32"/>
      <c r="BJ37" s="38"/>
      <c r="BK37" s="38"/>
      <c r="BL37" s="38"/>
      <c r="BM37" s="38"/>
      <c r="BN37" s="27"/>
      <c r="BO37" s="27"/>
      <c r="BP37" s="27"/>
      <c r="BQ37" s="27"/>
      <c r="BR37" s="27"/>
      <c r="BS37" s="39"/>
      <c r="BT37" s="39"/>
      <c r="BU37" s="39"/>
      <c r="BV37" s="39"/>
      <c r="BW37" s="39"/>
      <c r="BX37" s="42"/>
      <c r="BY37" s="42"/>
      <c r="BZ37" s="42"/>
      <c r="CA37" s="42"/>
      <c r="CB37" s="43"/>
      <c r="CC37" s="43"/>
      <c r="CD37" s="43"/>
      <c r="CE37" s="43"/>
      <c r="CF37" s="43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</row>
    <row r="38" spans="1:552" s="22" customFormat="1" ht="3.75" customHeight="1" thickTop="1" x14ac:dyDescent="0.2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99"/>
      <c r="M38" s="99"/>
      <c r="N38" s="99"/>
      <c r="O38" s="100"/>
      <c r="P38" s="78"/>
      <c r="Q38" s="78"/>
      <c r="R38" s="78"/>
      <c r="S38" s="99"/>
      <c r="T38" s="99"/>
      <c r="U38" s="99"/>
      <c r="V38" s="100"/>
      <c r="W38" s="5"/>
      <c r="X38" s="5"/>
      <c r="Y38" s="5"/>
      <c r="Z38" s="5"/>
      <c r="AA38" s="5"/>
      <c r="AB38" s="5"/>
      <c r="AC38" s="5"/>
      <c r="AD38" s="5"/>
      <c r="AE38" s="93"/>
      <c r="AF38" s="5"/>
      <c r="AG38" s="5"/>
      <c r="AH38" s="101"/>
      <c r="AI38" s="101"/>
      <c r="AJ38" s="101"/>
      <c r="AK38" s="102"/>
      <c r="AL38" s="102"/>
      <c r="AM38" s="102"/>
      <c r="AN38" s="102"/>
      <c r="AO38" s="102"/>
      <c r="AP38" s="102"/>
      <c r="AQ38" s="103"/>
      <c r="AR38" s="103"/>
      <c r="AS38" s="104"/>
      <c r="AT38" s="104"/>
      <c r="AU38" s="104"/>
      <c r="AV38" s="104"/>
      <c r="AW38" s="104"/>
      <c r="AX38" s="104"/>
      <c r="AY38" s="104"/>
      <c r="AZ38" s="104"/>
      <c r="BA38" s="103"/>
      <c r="BB38" s="103"/>
      <c r="BC38" s="103"/>
      <c r="BD38" s="103"/>
      <c r="BE38" s="103"/>
      <c r="BF38" s="103"/>
      <c r="BG38" s="92"/>
      <c r="BH38" s="92"/>
      <c r="BI38" s="92"/>
      <c r="BJ38" s="92"/>
      <c r="BK38" s="92"/>
      <c r="BL38" s="92"/>
      <c r="BM38" s="92"/>
    </row>
    <row r="39" spans="1:552" s="110" customFormat="1" ht="10.7" customHeight="1" x14ac:dyDescent="0.2">
      <c r="A39" s="105"/>
      <c r="B39" s="105"/>
      <c r="C39" s="105"/>
      <c r="G39" s="65"/>
      <c r="H39" s="65"/>
      <c r="I39" s="65"/>
      <c r="J39" s="65"/>
      <c r="K39" s="65"/>
      <c r="L39" s="115" t="s">
        <v>105</v>
      </c>
      <c r="M39" s="204" t="s">
        <v>107</v>
      </c>
      <c r="N39" s="204"/>
      <c r="O39" s="204"/>
      <c r="P39" s="204"/>
      <c r="Q39" s="204"/>
      <c r="R39" s="204"/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65"/>
      <c r="AI39" s="65"/>
      <c r="AJ39" s="65"/>
      <c r="AK39" s="65"/>
      <c r="AL39" s="65"/>
      <c r="AM39" s="65"/>
      <c r="AN39" s="106"/>
      <c r="AO39" s="106"/>
      <c r="AP39" s="106"/>
      <c r="AQ39" s="107"/>
      <c r="AR39" s="107"/>
      <c r="AS39" s="107"/>
      <c r="AT39" s="107"/>
      <c r="AU39" s="108"/>
      <c r="AV39" s="108"/>
      <c r="AW39" s="108"/>
      <c r="AX39" s="108"/>
      <c r="AY39" s="108"/>
      <c r="AZ39" s="108"/>
      <c r="BA39" s="109"/>
      <c r="BB39" s="109"/>
      <c r="BC39" s="109"/>
      <c r="BD39" s="109"/>
      <c r="BE39" s="109"/>
      <c r="BF39" s="109"/>
      <c r="BG39" s="109"/>
    </row>
    <row r="40" spans="1:552" s="110" customFormat="1" ht="7.35" customHeight="1" x14ac:dyDescent="0.25">
      <c r="A40" s="105"/>
      <c r="B40" s="105"/>
      <c r="C40" s="105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06"/>
      <c r="AO40" s="106"/>
      <c r="AP40" s="106"/>
      <c r="AQ40" s="107"/>
      <c r="AR40" s="107"/>
      <c r="AS40" s="107"/>
      <c r="AT40" s="107"/>
      <c r="AU40" s="108"/>
      <c r="AV40" s="108"/>
      <c r="AW40" s="108"/>
      <c r="AX40" s="108"/>
      <c r="AY40" s="108"/>
      <c r="AZ40" s="108"/>
      <c r="BA40" s="109"/>
      <c r="BB40" s="109"/>
      <c r="BC40" s="109"/>
      <c r="BD40" s="109"/>
      <c r="BE40" s="109"/>
      <c r="BF40" s="109"/>
      <c r="BG40" s="109"/>
    </row>
    <row r="41" spans="1:552" s="22" customFormat="1" ht="14.25" customHeight="1" x14ac:dyDescent="0.2">
      <c r="C41" s="5"/>
      <c r="D41" s="195" t="str">
        <f>IF('Limit Verification'!V5="Yes","NO Span Warning Limit Exceeded",IF('Limit Verification'!V9="Yes","NO Span Control Limit Exceeded"," "))</f>
        <v>NO Span Control Limit Exceeded</v>
      </c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97"/>
      <c r="P41" s="112"/>
      <c r="Q41" s="195" t="str">
        <f>IF('Limit Verification'!V7="Yes","NOx Span Warning Limit Exceeded",IF('Limit Verification'!V11="Yes","NOx Span Control Limit Exceeded"," "))</f>
        <v xml:space="preserve"> </v>
      </c>
      <c r="R41" s="195"/>
      <c r="S41" s="195"/>
      <c r="T41" s="195"/>
      <c r="U41" s="195"/>
      <c r="V41" s="195"/>
      <c r="W41" s="195"/>
      <c r="X41" s="195"/>
      <c r="Y41" s="195"/>
      <c r="Z41" s="195"/>
      <c r="AA41" s="195"/>
      <c r="AB41" s="97"/>
      <c r="AC41" s="97"/>
      <c r="AD41" s="195" t="str">
        <f>IF(OR('Limit Verification'!V13="Yes",'Limit Verification'!V15="Yes"),"Zero Drift Limit Exceeded"," ")</f>
        <v xml:space="preserve"> </v>
      </c>
      <c r="AE41" s="195"/>
      <c r="AF41" s="195"/>
      <c r="AG41" s="195"/>
      <c r="AH41" s="195"/>
      <c r="AI41" s="195"/>
      <c r="AJ41" s="195"/>
      <c r="AK41" s="195"/>
      <c r="AL41" s="195"/>
      <c r="AM41" s="195"/>
      <c r="AN41" s="195"/>
      <c r="AO41" s="103"/>
      <c r="AP41" s="103"/>
      <c r="AQ41" s="103"/>
      <c r="AR41" s="103"/>
      <c r="AS41" s="103"/>
      <c r="AT41" s="92"/>
      <c r="AU41" s="92"/>
      <c r="AV41" s="92"/>
      <c r="AW41" s="92"/>
      <c r="AX41" s="92"/>
      <c r="AY41" s="92"/>
      <c r="AZ41" s="92"/>
    </row>
    <row r="42" spans="1:552" s="22" customFormat="1" ht="8.1" customHeight="1" x14ac:dyDescent="0.2">
      <c r="C42" s="5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7"/>
      <c r="P42" s="112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7"/>
      <c r="AC42" s="97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103"/>
      <c r="AP42" s="103"/>
      <c r="AQ42" s="103"/>
      <c r="AR42" s="103"/>
      <c r="AS42" s="103"/>
      <c r="AT42" s="92"/>
      <c r="AU42" s="92"/>
      <c r="AV42" s="92"/>
      <c r="AW42" s="92"/>
      <c r="AX42" s="92"/>
      <c r="AY42" s="92"/>
      <c r="AZ42" s="92"/>
    </row>
    <row r="43" spans="1:552" s="21" customFormat="1" ht="15.75" customHeight="1" thickBot="1" x14ac:dyDescent="0.4">
      <c r="B43" s="131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252" t="s">
        <v>106</v>
      </c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34"/>
      <c r="AR43" s="34"/>
      <c r="AS43" s="34"/>
      <c r="AT43" s="34"/>
      <c r="AU43" s="34"/>
      <c r="AV43" s="34"/>
      <c r="AW43" s="34"/>
      <c r="AX43" s="34"/>
      <c r="AY43" s="34"/>
      <c r="AZ43" s="27"/>
      <c r="BA43" s="27"/>
      <c r="BB43" s="27"/>
      <c r="BC43" s="27"/>
      <c r="BD43" s="27"/>
      <c r="BE43" s="39"/>
      <c r="BF43" s="39"/>
      <c r="BG43" s="39"/>
      <c r="BH43" s="39"/>
      <c r="BI43" s="39"/>
      <c r="BJ43" s="44"/>
      <c r="BK43" s="45"/>
      <c r="BL43" s="45"/>
      <c r="BM43" s="45"/>
      <c r="BN43" s="27"/>
      <c r="BO43" s="27"/>
      <c r="BP43" s="27"/>
      <c r="BQ43" s="27"/>
      <c r="BR43" s="27"/>
      <c r="BS43" s="39"/>
      <c r="BT43" s="39"/>
      <c r="BU43" s="39"/>
      <c r="BV43" s="39"/>
      <c r="BW43" s="39"/>
      <c r="BX43" s="39"/>
      <c r="BY43" s="42"/>
      <c r="BZ43" s="42"/>
      <c r="CA43" s="42"/>
      <c r="CB43" s="46"/>
      <c r="CC43" s="46"/>
      <c r="CD43" s="46"/>
      <c r="CE43" s="46"/>
      <c r="CF43" s="46"/>
    </row>
    <row r="44" spans="1:552" ht="9.1999999999999993" customHeight="1" thickTop="1" x14ac:dyDescent="0.25">
      <c r="A44" s="380" t="s">
        <v>36</v>
      </c>
      <c r="B44" s="381"/>
      <c r="C44" s="381"/>
      <c r="D44" s="381"/>
      <c r="E44" s="381"/>
      <c r="F44" s="381"/>
      <c r="G44" s="381"/>
      <c r="H44" s="382"/>
      <c r="I44" s="404" t="s">
        <v>131</v>
      </c>
      <c r="J44" s="405"/>
      <c r="K44" s="405"/>
      <c r="L44" s="405"/>
      <c r="M44" s="405"/>
      <c r="N44" s="406"/>
      <c r="O44" s="271" t="s">
        <v>37</v>
      </c>
      <c r="P44" s="271"/>
      <c r="Q44" s="271"/>
      <c r="R44" s="271"/>
      <c r="S44" s="271"/>
      <c r="T44" s="271"/>
      <c r="U44" s="271"/>
      <c r="V44" s="271"/>
      <c r="W44" s="271" t="s">
        <v>34</v>
      </c>
      <c r="X44" s="271"/>
      <c r="Y44" s="271"/>
      <c r="Z44" s="271"/>
      <c r="AA44" s="271"/>
      <c r="AB44" s="271"/>
      <c r="AC44" s="271"/>
      <c r="AD44" s="271"/>
      <c r="AE44" s="301" t="s">
        <v>92</v>
      </c>
      <c r="AF44" s="301"/>
      <c r="AG44" s="301"/>
      <c r="AH44" s="301"/>
      <c r="AI44" s="301"/>
      <c r="AJ44" s="301" t="s">
        <v>29</v>
      </c>
      <c r="AK44" s="301"/>
      <c r="AL44" s="301"/>
      <c r="AM44" s="301"/>
      <c r="AN44" s="301"/>
      <c r="AO44" s="301"/>
      <c r="AP44" s="302"/>
      <c r="AQ44" s="34"/>
      <c r="AR44" s="34"/>
      <c r="AS44" s="34"/>
      <c r="AT44" s="34"/>
      <c r="AU44" s="34"/>
      <c r="AV44" s="34"/>
      <c r="AW44" s="34"/>
      <c r="AX44" s="34"/>
      <c r="AY44" s="34"/>
      <c r="AZ44" s="27"/>
      <c r="BA44" s="27"/>
      <c r="BB44" s="27"/>
      <c r="BC44" s="27"/>
      <c r="BD44" s="27"/>
      <c r="BE44" s="39"/>
      <c r="BF44" s="39"/>
      <c r="BG44" s="39"/>
      <c r="BH44" s="39"/>
      <c r="BI44" s="39"/>
      <c r="BJ44" s="47"/>
      <c r="BK44" s="47"/>
      <c r="BL44" s="47"/>
      <c r="BM44" s="47"/>
      <c r="BN44" s="27"/>
      <c r="BO44" s="27"/>
      <c r="BP44" s="27"/>
      <c r="BQ44" s="27"/>
      <c r="BR44" s="27"/>
      <c r="BS44" s="39"/>
      <c r="BT44" s="39"/>
      <c r="BU44" s="39"/>
      <c r="BV44" s="39"/>
      <c r="BW44" s="39"/>
      <c r="BX44" s="39"/>
      <c r="BY44" s="42"/>
      <c r="BZ44" s="42"/>
      <c r="CA44" s="42"/>
      <c r="CB44" s="46"/>
      <c r="CC44" s="46"/>
      <c r="CD44" s="46"/>
      <c r="CE44" s="46"/>
      <c r="CF44" s="46"/>
    </row>
    <row r="45" spans="1:552" ht="9" customHeight="1" x14ac:dyDescent="0.25">
      <c r="A45" s="383"/>
      <c r="B45" s="317"/>
      <c r="C45" s="317"/>
      <c r="D45" s="317"/>
      <c r="E45" s="317"/>
      <c r="F45" s="317"/>
      <c r="G45" s="317"/>
      <c r="H45" s="384"/>
      <c r="I45" s="407"/>
      <c r="J45" s="408"/>
      <c r="K45" s="408"/>
      <c r="L45" s="408"/>
      <c r="M45" s="408"/>
      <c r="N45" s="409"/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303"/>
      <c r="AF45" s="303"/>
      <c r="AG45" s="303"/>
      <c r="AH45" s="303"/>
      <c r="AI45" s="303"/>
      <c r="AJ45" s="303"/>
      <c r="AK45" s="303"/>
      <c r="AL45" s="303"/>
      <c r="AM45" s="303"/>
      <c r="AN45" s="303"/>
      <c r="AO45" s="303"/>
      <c r="AP45" s="304"/>
      <c r="AQ45" s="34"/>
      <c r="AR45" s="34"/>
      <c r="AS45" s="34"/>
      <c r="AT45" s="34"/>
      <c r="AU45" s="34"/>
      <c r="AV45" s="35"/>
      <c r="AW45" s="35"/>
      <c r="AX45" s="35"/>
      <c r="AY45" s="35"/>
      <c r="AZ45" s="36"/>
      <c r="BA45" s="36"/>
      <c r="BB45" s="36"/>
      <c r="BC45" s="36"/>
      <c r="BD45" s="36"/>
      <c r="BE45" s="39"/>
      <c r="BF45" s="39"/>
      <c r="BG45" s="39"/>
      <c r="BH45" s="39"/>
      <c r="BI45" s="39"/>
      <c r="BJ45" s="38"/>
      <c r="BK45" s="38"/>
      <c r="BL45" s="38"/>
      <c r="BM45" s="38"/>
      <c r="BN45" s="27"/>
      <c r="BO45" s="27"/>
      <c r="BP45" s="27"/>
      <c r="BQ45" s="27"/>
      <c r="BR45" s="27"/>
      <c r="BS45" s="33"/>
      <c r="BT45" s="33"/>
      <c r="BU45" s="33"/>
      <c r="BV45" s="33"/>
      <c r="BW45" s="33"/>
      <c r="BX45" s="33"/>
      <c r="BY45" s="33"/>
      <c r="BZ45" s="33"/>
      <c r="CA45" s="33"/>
      <c r="CB45" s="26"/>
      <c r="CC45" s="26"/>
      <c r="CD45" s="26"/>
      <c r="CE45" s="26"/>
      <c r="CF45" s="26"/>
    </row>
    <row r="46" spans="1:552" ht="12.2" customHeight="1" x14ac:dyDescent="0.25">
      <c r="A46" s="392" t="str">
        <f>IF(ISNUMBER(I23),I23," ")</f>
        <v xml:space="preserve"> </v>
      </c>
      <c r="B46" s="393"/>
      <c r="C46" s="393"/>
      <c r="D46" s="393"/>
      <c r="E46" s="393"/>
      <c r="F46" s="393"/>
      <c r="G46" s="393"/>
      <c r="H46" s="394"/>
      <c r="I46" s="407"/>
      <c r="J46" s="408"/>
      <c r="K46" s="408"/>
      <c r="L46" s="408"/>
      <c r="M46" s="408"/>
      <c r="N46" s="409"/>
      <c r="O46" s="370">
        <v>41.5</v>
      </c>
      <c r="P46" s="370"/>
      <c r="Q46" s="370"/>
      <c r="R46" s="370"/>
      <c r="S46" s="370"/>
      <c r="T46" s="370"/>
      <c r="U46" s="370"/>
      <c r="V46" s="370"/>
      <c r="W46" s="370">
        <v>41.6</v>
      </c>
      <c r="X46" s="370"/>
      <c r="Y46" s="370"/>
      <c r="Z46" s="370"/>
      <c r="AA46" s="370"/>
      <c r="AB46" s="370"/>
      <c r="AC46" s="370"/>
      <c r="AD46" s="370"/>
      <c r="AE46" s="314">
        <f>IF(AND(ISNUMBER(O46),ISNUMBER(W46)),ROUND(((W46-O46)/O46)*100,1)*1," ")</f>
        <v>0.2</v>
      </c>
      <c r="AF46" s="314"/>
      <c r="AG46" s="314"/>
      <c r="AH46" s="314"/>
      <c r="AI46" s="314"/>
      <c r="AJ46" s="288">
        <v>43840</v>
      </c>
      <c r="AK46" s="289"/>
      <c r="AL46" s="289"/>
      <c r="AM46" s="289"/>
      <c r="AN46" s="289"/>
      <c r="AO46" s="289"/>
      <c r="AP46" s="290"/>
      <c r="AQ46" s="34"/>
      <c r="AR46" s="34"/>
      <c r="AS46" s="34"/>
      <c r="AT46" s="34"/>
      <c r="AU46" s="34"/>
      <c r="AV46" s="35"/>
      <c r="AW46" s="48"/>
      <c r="AX46" s="48"/>
      <c r="AY46" s="48"/>
      <c r="AZ46" s="36"/>
      <c r="BA46" s="36"/>
      <c r="BB46" s="36"/>
      <c r="BC46" s="36"/>
      <c r="BD46" s="36"/>
      <c r="BE46" s="39"/>
      <c r="BF46" s="39"/>
      <c r="BG46" s="39"/>
      <c r="BH46" s="39"/>
      <c r="BI46" s="39"/>
      <c r="BJ46" s="38"/>
      <c r="BK46" s="38"/>
      <c r="BL46" s="38"/>
      <c r="BM46" s="38"/>
      <c r="BN46" s="27"/>
      <c r="BO46" s="27"/>
      <c r="BP46" s="27"/>
      <c r="BQ46" s="27"/>
      <c r="BR46" s="27"/>
      <c r="BS46" s="33"/>
      <c r="BT46" s="33"/>
      <c r="BU46" s="33"/>
      <c r="BV46" s="33"/>
      <c r="BW46" s="33"/>
      <c r="BX46" s="33"/>
      <c r="BY46" s="33"/>
      <c r="BZ46" s="33"/>
      <c r="CA46" s="33"/>
      <c r="CB46" s="26"/>
      <c r="CC46" s="26"/>
      <c r="CD46" s="26"/>
      <c r="CE46" s="26"/>
      <c r="CF46" s="26"/>
    </row>
    <row r="47" spans="1:552" ht="12.2" customHeight="1" thickBot="1" x14ac:dyDescent="0.3">
      <c r="A47" s="395"/>
      <c r="B47" s="396"/>
      <c r="C47" s="396"/>
      <c r="D47" s="396"/>
      <c r="E47" s="396"/>
      <c r="F47" s="396"/>
      <c r="G47" s="396"/>
      <c r="H47" s="397"/>
      <c r="I47" s="341"/>
      <c r="J47" s="342"/>
      <c r="K47" s="342"/>
      <c r="L47" s="342"/>
      <c r="M47" s="342"/>
      <c r="N47" s="410"/>
      <c r="O47" s="371"/>
      <c r="P47" s="371"/>
      <c r="Q47" s="371"/>
      <c r="R47" s="371"/>
      <c r="S47" s="371"/>
      <c r="T47" s="371"/>
      <c r="U47" s="371"/>
      <c r="V47" s="371"/>
      <c r="W47" s="371"/>
      <c r="X47" s="371"/>
      <c r="Y47" s="371"/>
      <c r="Z47" s="371"/>
      <c r="AA47" s="371"/>
      <c r="AB47" s="371"/>
      <c r="AC47" s="371"/>
      <c r="AD47" s="371"/>
      <c r="AE47" s="315"/>
      <c r="AF47" s="315"/>
      <c r="AG47" s="315"/>
      <c r="AH47" s="315"/>
      <c r="AI47" s="315"/>
      <c r="AJ47" s="291"/>
      <c r="AK47" s="292"/>
      <c r="AL47" s="292"/>
      <c r="AM47" s="292"/>
      <c r="AN47" s="292"/>
      <c r="AO47" s="292"/>
      <c r="AP47" s="293"/>
    </row>
    <row r="48" spans="1:552" s="22" customFormat="1" ht="3.75" customHeight="1" thickTop="1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99"/>
      <c r="M48" s="99"/>
      <c r="N48" s="99"/>
      <c r="O48" s="100"/>
      <c r="P48" s="78"/>
      <c r="Q48" s="78"/>
      <c r="R48" s="78"/>
      <c r="S48" s="99"/>
      <c r="T48" s="99"/>
      <c r="U48" s="99"/>
      <c r="V48" s="100"/>
      <c r="W48" s="5"/>
      <c r="X48" s="5"/>
      <c r="Y48" s="5"/>
      <c r="Z48" s="5"/>
      <c r="AA48" s="5"/>
      <c r="AB48" s="5"/>
      <c r="AC48" s="5"/>
      <c r="AD48" s="5"/>
      <c r="AE48" s="93"/>
      <c r="AF48" s="5"/>
      <c r="AG48" s="5"/>
      <c r="AH48" s="101"/>
      <c r="AI48" s="101"/>
      <c r="AJ48" s="101"/>
      <c r="AK48" s="102"/>
      <c r="AL48" s="102"/>
      <c r="AM48" s="102"/>
      <c r="AN48" s="102"/>
      <c r="AO48" s="102"/>
      <c r="AP48" s="102"/>
      <c r="AQ48" s="103"/>
      <c r="AR48" s="103"/>
      <c r="AS48" s="104"/>
      <c r="AT48" s="104"/>
      <c r="AU48" s="104"/>
      <c r="AV48" s="104"/>
      <c r="AW48" s="104"/>
      <c r="AX48" s="104"/>
      <c r="AY48" s="104"/>
      <c r="AZ48" s="104"/>
      <c r="BA48" s="103"/>
      <c r="BB48" s="103"/>
      <c r="BC48" s="103"/>
      <c r="BD48" s="103"/>
      <c r="BE48" s="103"/>
      <c r="BF48" s="103"/>
      <c r="BG48" s="92"/>
      <c r="BH48" s="92"/>
      <c r="BI48" s="92"/>
      <c r="BJ48" s="92"/>
      <c r="BK48" s="92"/>
      <c r="BL48" s="92"/>
      <c r="BM48" s="92"/>
    </row>
    <row r="49" spans="1:94" s="110" customFormat="1" ht="10.7" customHeight="1" x14ac:dyDescent="0.2">
      <c r="A49" s="105"/>
      <c r="B49" s="105"/>
      <c r="C49" s="105"/>
      <c r="O49" s="115" t="s">
        <v>91</v>
      </c>
      <c r="P49" s="176" t="s">
        <v>108</v>
      </c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106"/>
      <c r="AN49" s="106"/>
      <c r="AO49" s="106"/>
      <c r="AP49" s="107"/>
      <c r="AQ49" s="107"/>
      <c r="AR49" s="107"/>
      <c r="AS49" s="107"/>
      <c r="AT49" s="108"/>
      <c r="AU49" s="108"/>
      <c r="AV49" s="108"/>
      <c r="AW49" s="108"/>
      <c r="AX49" s="108"/>
      <c r="AY49" s="108"/>
      <c r="AZ49" s="109"/>
      <c r="BA49" s="109"/>
      <c r="BB49" s="109"/>
      <c r="BC49" s="109"/>
      <c r="BD49" s="109"/>
      <c r="BE49" s="109"/>
      <c r="BF49" s="109"/>
    </row>
    <row r="50" spans="1:94" s="110" customFormat="1" ht="5.25" customHeight="1" x14ac:dyDescent="0.25">
      <c r="A50" s="105"/>
      <c r="B50" s="105"/>
      <c r="C50" s="105"/>
      <c r="D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L50" s="111"/>
      <c r="AM50" s="111"/>
      <c r="AN50" s="106"/>
      <c r="AO50" s="106"/>
      <c r="AP50" s="106"/>
      <c r="AQ50" s="107"/>
      <c r="AR50" s="107"/>
      <c r="AS50" s="107"/>
      <c r="AT50" s="107"/>
      <c r="AU50" s="108"/>
      <c r="AV50" s="108"/>
      <c r="AW50" s="108"/>
      <c r="AX50" s="108"/>
      <c r="AY50" s="108"/>
      <c r="AZ50" s="108"/>
      <c r="BA50" s="109"/>
      <c r="BB50" s="109"/>
      <c r="BC50" s="109"/>
      <c r="BD50" s="109"/>
      <c r="BE50" s="109"/>
      <c r="BF50" s="109"/>
      <c r="BG50" s="109"/>
    </row>
    <row r="51" spans="1:94" s="22" customFormat="1" ht="14.25" customHeight="1" x14ac:dyDescent="0.2"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O51" s="132"/>
      <c r="Q51" s="195" t="str">
        <f>IF('Limit Verification'!V17="Yes","NO2 PC Warning Limit Exceeded",IF('Limit Verification'!V19="Yes","NO2 PC Control Limit Exceeded"," "))</f>
        <v xml:space="preserve"> </v>
      </c>
      <c r="R51" s="195"/>
      <c r="S51" s="195"/>
      <c r="T51" s="195"/>
      <c r="U51" s="195"/>
      <c r="V51" s="195"/>
      <c r="W51" s="195"/>
      <c r="X51" s="195"/>
      <c r="Y51" s="195"/>
      <c r="Z51" s="195"/>
      <c r="AA51" s="195"/>
      <c r="AB51" s="132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BC51" s="5"/>
      <c r="BD51" s="132"/>
      <c r="BE51" s="132"/>
      <c r="BF51" s="132"/>
      <c r="BG51" s="132"/>
      <c r="BH51" s="132"/>
      <c r="BI51" s="132"/>
      <c r="BJ51" s="132"/>
      <c r="BK51" s="132"/>
      <c r="BL51" s="132"/>
      <c r="BM51" s="132"/>
      <c r="BN51" s="132"/>
      <c r="BO51" s="97"/>
      <c r="BP51" s="112"/>
      <c r="BQ51" s="132"/>
      <c r="BR51" s="132"/>
      <c r="BS51" s="132"/>
      <c r="BT51" s="132"/>
      <c r="BU51" s="132"/>
      <c r="BV51" s="132"/>
      <c r="BW51" s="132"/>
      <c r="BX51" s="132"/>
      <c r="BY51" s="132"/>
      <c r="BZ51" s="132"/>
      <c r="CA51" s="132"/>
      <c r="CB51" s="97"/>
      <c r="CC51" s="97"/>
      <c r="CD51" s="132"/>
      <c r="CE51" s="132"/>
      <c r="CF51" s="132"/>
      <c r="CG51" s="132"/>
      <c r="CH51" s="132"/>
      <c r="CI51" s="132"/>
      <c r="CJ51" s="132"/>
      <c r="CK51" s="132"/>
      <c r="CL51" s="132"/>
      <c r="CM51" s="132"/>
      <c r="CN51" s="132"/>
      <c r="CO51" s="103"/>
      <c r="CP51" s="103"/>
    </row>
    <row r="52" spans="1:94" s="22" customFormat="1" ht="5.0999999999999996" customHeight="1" x14ac:dyDescent="0.25"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103"/>
      <c r="AR52" s="103"/>
      <c r="AS52" s="104"/>
      <c r="AT52" s="104"/>
      <c r="AU52" s="104"/>
      <c r="AV52" s="104"/>
      <c r="AW52" s="104"/>
      <c r="AX52" s="104"/>
      <c r="AY52" s="104"/>
      <c r="AZ52" s="104"/>
      <c r="BA52" s="103"/>
      <c r="BB52" s="103"/>
      <c r="BC52" s="103"/>
      <c r="BD52" s="103"/>
      <c r="BE52" s="103"/>
      <c r="BF52" s="103"/>
      <c r="BG52" s="92"/>
      <c r="BH52" s="92"/>
      <c r="BI52" s="92"/>
      <c r="BJ52" s="92"/>
      <c r="BK52" s="92"/>
      <c r="BL52" s="92"/>
      <c r="BM52" s="92"/>
    </row>
    <row r="53" spans="1:94" s="89" customFormat="1" ht="8.1" customHeight="1" x14ac:dyDescent="0.25">
      <c r="A53" s="386" t="s">
        <v>17</v>
      </c>
      <c r="B53" s="386"/>
      <c r="C53" s="386"/>
      <c r="D53" s="386"/>
      <c r="E53" s="386"/>
      <c r="F53" s="386"/>
      <c r="G53" s="386"/>
      <c r="H53" s="386"/>
      <c r="I53" s="386"/>
      <c r="J53" s="386"/>
      <c r="K53" s="386"/>
      <c r="L53" s="386"/>
      <c r="M53" s="386"/>
      <c r="N53" s="386"/>
      <c r="O53" s="386"/>
      <c r="P53" s="386"/>
      <c r="Q53" s="386"/>
      <c r="R53" s="386"/>
      <c r="S53" s="386"/>
      <c r="T53" s="386"/>
      <c r="U53" s="386"/>
      <c r="V53" s="386"/>
      <c r="W53" s="386"/>
      <c r="X53" s="386"/>
      <c r="Y53" s="386"/>
      <c r="Z53" s="386"/>
      <c r="AA53" s="386"/>
      <c r="AB53" s="386"/>
      <c r="AC53" s="386"/>
      <c r="AD53" s="386"/>
      <c r="AE53" s="386"/>
      <c r="AF53" s="386"/>
      <c r="AG53" s="386"/>
      <c r="AH53" s="386"/>
      <c r="AI53" s="386"/>
      <c r="AJ53" s="386"/>
      <c r="AK53" s="386"/>
      <c r="AL53" s="386"/>
      <c r="AM53" s="386"/>
      <c r="AN53" s="386"/>
      <c r="AO53" s="386"/>
      <c r="AP53" s="386"/>
    </row>
    <row r="54" spans="1:94" s="89" customFormat="1" ht="12.95" customHeight="1" thickBot="1" x14ac:dyDescent="0.3">
      <c r="A54" s="387"/>
      <c r="B54" s="387"/>
      <c r="C54" s="387"/>
      <c r="D54" s="387"/>
      <c r="E54" s="387"/>
      <c r="F54" s="387"/>
      <c r="G54" s="387"/>
      <c r="H54" s="387"/>
      <c r="I54" s="387"/>
      <c r="J54" s="387"/>
      <c r="K54" s="387"/>
      <c r="L54" s="387"/>
      <c r="M54" s="387"/>
      <c r="N54" s="387"/>
      <c r="O54" s="387"/>
      <c r="P54" s="387"/>
      <c r="Q54" s="387"/>
      <c r="R54" s="387"/>
      <c r="S54" s="387"/>
      <c r="T54" s="387"/>
      <c r="U54" s="387"/>
      <c r="V54" s="387"/>
      <c r="W54" s="387"/>
      <c r="X54" s="387"/>
      <c r="Y54" s="387"/>
      <c r="Z54" s="387"/>
      <c r="AA54" s="387"/>
      <c r="AB54" s="387"/>
      <c r="AC54" s="387"/>
      <c r="AD54" s="387"/>
      <c r="AE54" s="387"/>
      <c r="AF54" s="387"/>
      <c r="AG54" s="387"/>
      <c r="AH54" s="387"/>
      <c r="AI54" s="387"/>
      <c r="AJ54" s="387"/>
      <c r="AK54" s="387"/>
      <c r="AL54" s="387"/>
      <c r="AM54" s="387"/>
      <c r="AN54" s="387"/>
      <c r="AO54" s="387"/>
      <c r="AP54" s="387"/>
    </row>
    <row r="55" spans="1:94" s="21" customFormat="1" ht="9.1999999999999993" customHeight="1" thickTop="1" x14ac:dyDescent="0.25">
      <c r="A55" s="205" t="s">
        <v>18</v>
      </c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 t="s">
        <v>19</v>
      </c>
      <c r="Q55" s="206"/>
      <c r="R55" s="206"/>
      <c r="S55" s="206"/>
      <c r="T55" s="206"/>
      <c r="U55" s="206"/>
      <c r="V55" s="206"/>
      <c r="W55" s="206"/>
      <c r="X55" s="206"/>
      <c r="Y55" s="206"/>
      <c r="Z55" s="209" t="s">
        <v>20</v>
      </c>
      <c r="AA55" s="209"/>
      <c r="AB55" s="209"/>
      <c r="AC55" s="209"/>
      <c r="AD55" s="209"/>
      <c r="AE55" s="209"/>
      <c r="AF55" s="209"/>
      <c r="AG55" s="209"/>
      <c r="AH55" s="209"/>
      <c r="AI55" s="209" t="s">
        <v>27</v>
      </c>
      <c r="AJ55" s="209"/>
      <c r="AK55" s="209"/>
      <c r="AL55" s="209"/>
      <c r="AM55" s="209"/>
      <c r="AN55" s="209"/>
      <c r="AO55" s="209"/>
      <c r="AP55" s="211"/>
    </row>
    <row r="56" spans="1:94" s="21" customFormat="1" ht="9.1999999999999993" customHeight="1" x14ac:dyDescent="0.25">
      <c r="A56" s="207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  <c r="X56" s="208"/>
      <c r="Y56" s="208"/>
      <c r="Z56" s="210"/>
      <c r="AA56" s="210"/>
      <c r="AB56" s="210"/>
      <c r="AC56" s="210"/>
      <c r="AD56" s="210"/>
      <c r="AE56" s="210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2"/>
    </row>
    <row r="57" spans="1:94" s="21" customFormat="1" ht="12.2" customHeight="1" x14ac:dyDescent="0.25">
      <c r="A57" s="259" t="s">
        <v>21</v>
      </c>
      <c r="B57" s="250"/>
      <c r="C57" s="250"/>
      <c r="D57" s="250"/>
      <c r="E57" s="250"/>
      <c r="F57" s="250"/>
      <c r="G57" s="250"/>
      <c r="H57" s="250"/>
      <c r="I57" s="250"/>
      <c r="J57" s="250"/>
      <c r="K57" s="250"/>
      <c r="L57" s="250"/>
      <c r="M57" s="250"/>
      <c r="N57" s="250"/>
      <c r="O57" s="250"/>
      <c r="P57" s="250" t="s">
        <v>22</v>
      </c>
      <c r="Q57" s="250"/>
      <c r="R57" s="250"/>
      <c r="S57" s="250"/>
      <c r="T57" s="250"/>
      <c r="U57" s="250"/>
      <c r="V57" s="250"/>
      <c r="W57" s="250"/>
      <c r="X57" s="250"/>
      <c r="Y57" s="250"/>
      <c r="Z57" s="198">
        <v>43830</v>
      </c>
      <c r="AA57" s="198"/>
      <c r="AB57" s="198"/>
      <c r="AC57" s="198"/>
      <c r="AD57" s="198"/>
      <c r="AE57" s="198"/>
      <c r="AF57" s="198"/>
      <c r="AG57" s="198"/>
      <c r="AH57" s="198"/>
      <c r="AI57" s="200" t="s">
        <v>135</v>
      </c>
      <c r="AJ57" s="200"/>
      <c r="AK57" s="200"/>
      <c r="AL57" s="200"/>
      <c r="AM57" s="200"/>
      <c r="AN57" s="200"/>
      <c r="AO57" s="200"/>
      <c r="AP57" s="201"/>
    </row>
    <row r="58" spans="1:94" s="21" customFormat="1" ht="12.2" customHeight="1" x14ac:dyDescent="0.25">
      <c r="A58" s="259"/>
      <c r="B58" s="250"/>
      <c r="C58" s="250"/>
      <c r="D58" s="250"/>
      <c r="E58" s="250"/>
      <c r="F58" s="250"/>
      <c r="G58" s="250"/>
      <c r="H58" s="250"/>
      <c r="I58" s="250"/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  <c r="U58" s="250"/>
      <c r="V58" s="250"/>
      <c r="W58" s="250"/>
      <c r="X58" s="250"/>
      <c r="Y58" s="250"/>
      <c r="Z58" s="198"/>
      <c r="AA58" s="198"/>
      <c r="AB58" s="198"/>
      <c r="AC58" s="198"/>
      <c r="AD58" s="198"/>
      <c r="AE58" s="198"/>
      <c r="AF58" s="198"/>
      <c r="AG58" s="198"/>
      <c r="AH58" s="198"/>
      <c r="AI58" s="200"/>
      <c r="AJ58" s="200"/>
      <c r="AK58" s="200"/>
      <c r="AL58" s="200"/>
      <c r="AM58" s="200"/>
      <c r="AN58" s="200"/>
      <c r="AO58" s="200"/>
      <c r="AP58" s="201"/>
    </row>
    <row r="59" spans="1:94" s="21" customFormat="1" ht="12.2" customHeight="1" x14ac:dyDescent="0.25">
      <c r="A59" s="259" t="s">
        <v>23</v>
      </c>
      <c r="B59" s="250"/>
      <c r="C59" s="250"/>
      <c r="D59" s="250"/>
      <c r="E59" s="250"/>
      <c r="F59" s="250"/>
      <c r="G59" s="250"/>
      <c r="H59" s="250"/>
      <c r="I59" s="250"/>
      <c r="J59" s="250"/>
      <c r="K59" s="250"/>
      <c r="L59" s="250"/>
      <c r="M59" s="250"/>
      <c r="N59" s="250"/>
      <c r="O59" s="250"/>
      <c r="P59" s="250" t="s">
        <v>25</v>
      </c>
      <c r="Q59" s="250"/>
      <c r="R59" s="250"/>
      <c r="S59" s="250"/>
      <c r="T59" s="250"/>
      <c r="U59" s="250"/>
      <c r="V59" s="250"/>
      <c r="W59" s="250"/>
      <c r="X59" s="250"/>
      <c r="Y59" s="250"/>
      <c r="Z59" s="198">
        <v>43830</v>
      </c>
      <c r="AA59" s="198"/>
      <c r="AB59" s="198"/>
      <c r="AC59" s="198"/>
      <c r="AD59" s="198"/>
      <c r="AE59" s="198"/>
      <c r="AF59" s="198"/>
      <c r="AG59" s="198"/>
      <c r="AH59" s="198"/>
      <c r="AI59" s="200" t="s">
        <v>135</v>
      </c>
      <c r="AJ59" s="200"/>
      <c r="AK59" s="200"/>
      <c r="AL59" s="200"/>
      <c r="AM59" s="200"/>
      <c r="AN59" s="200"/>
      <c r="AO59" s="200"/>
      <c r="AP59" s="201"/>
    </row>
    <row r="60" spans="1:94" s="21" customFormat="1" ht="12.2" customHeight="1" x14ac:dyDescent="0.25">
      <c r="A60" s="259"/>
      <c r="B60" s="250"/>
      <c r="C60" s="250"/>
      <c r="D60" s="250"/>
      <c r="E60" s="250"/>
      <c r="F60" s="250"/>
      <c r="G60" s="250"/>
      <c r="H60" s="250"/>
      <c r="I60" s="250"/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  <c r="U60" s="250"/>
      <c r="V60" s="250"/>
      <c r="W60" s="250"/>
      <c r="X60" s="250"/>
      <c r="Y60" s="250"/>
      <c r="Z60" s="198"/>
      <c r="AA60" s="198"/>
      <c r="AB60" s="198"/>
      <c r="AC60" s="198"/>
      <c r="AD60" s="198"/>
      <c r="AE60" s="198"/>
      <c r="AF60" s="198"/>
      <c r="AG60" s="198"/>
      <c r="AH60" s="198"/>
      <c r="AI60" s="200"/>
      <c r="AJ60" s="200"/>
      <c r="AK60" s="200"/>
      <c r="AL60" s="200"/>
      <c r="AM60" s="200"/>
      <c r="AN60" s="200"/>
      <c r="AO60" s="200"/>
      <c r="AP60" s="201"/>
    </row>
    <row r="61" spans="1:94" s="21" customFormat="1" ht="12.2" customHeight="1" x14ac:dyDescent="0.25">
      <c r="A61" s="259" t="s">
        <v>24</v>
      </c>
      <c r="B61" s="250"/>
      <c r="C61" s="250"/>
      <c r="D61" s="250"/>
      <c r="E61" s="250"/>
      <c r="F61" s="250"/>
      <c r="G61" s="250"/>
      <c r="H61" s="250"/>
      <c r="I61" s="250"/>
      <c r="J61" s="250"/>
      <c r="K61" s="250"/>
      <c r="L61" s="250"/>
      <c r="M61" s="250"/>
      <c r="N61" s="250"/>
      <c r="O61" s="250"/>
      <c r="P61" s="250" t="s">
        <v>26</v>
      </c>
      <c r="Q61" s="250"/>
      <c r="R61" s="250"/>
      <c r="S61" s="250"/>
      <c r="T61" s="250"/>
      <c r="U61" s="250"/>
      <c r="V61" s="250"/>
      <c r="W61" s="250"/>
      <c r="X61" s="250"/>
      <c r="Y61" s="250"/>
      <c r="Z61" s="198">
        <v>43776</v>
      </c>
      <c r="AA61" s="198"/>
      <c r="AB61" s="198"/>
      <c r="AC61" s="198"/>
      <c r="AD61" s="198"/>
      <c r="AE61" s="198"/>
      <c r="AF61" s="198"/>
      <c r="AG61" s="198"/>
      <c r="AH61" s="198"/>
      <c r="AI61" s="200" t="s">
        <v>135</v>
      </c>
      <c r="AJ61" s="200"/>
      <c r="AK61" s="200"/>
      <c r="AL61" s="200"/>
      <c r="AM61" s="200"/>
      <c r="AN61" s="200"/>
      <c r="AO61" s="200"/>
      <c r="AP61" s="201"/>
    </row>
    <row r="62" spans="1:94" s="21" customFormat="1" ht="12.2" customHeight="1" x14ac:dyDescent="0.25">
      <c r="A62" s="259"/>
      <c r="B62" s="250"/>
      <c r="C62" s="250"/>
      <c r="D62" s="250"/>
      <c r="E62" s="250"/>
      <c r="F62" s="250"/>
      <c r="G62" s="250"/>
      <c r="H62" s="250"/>
      <c r="I62" s="250"/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  <c r="U62" s="250"/>
      <c r="V62" s="250"/>
      <c r="W62" s="250"/>
      <c r="X62" s="250"/>
      <c r="Y62" s="250"/>
      <c r="Z62" s="198"/>
      <c r="AA62" s="198"/>
      <c r="AB62" s="198"/>
      <c r="AC62" s="198"/>
      <c r="AD62" s="198"/>
      <c r="AE62" s="198"/>
      <c r="AF62" s="198"/>
      <c r="AG62" s="198"/>
      <c r="AH62" s="198"/>
      <c r="AI62" s="200"/>
      <c r="AJ62" s="200"/>
      <c r="AK62" s="200"/>
      <c r="AL62" s="200"/>
      <c r="AM62" s="200"/>
      <c r="AN62" s="200"/>
      <c r="AO62" s="200"/>
      <c r="AP62" s="201"/>
    </row>
    <row r="63" spans="1:94" s="21" customFormat="1" ht="12.2" customHeight="1" x14ac:dyDescent="0.25">
      <c r="A63" s="259" t="s">
        <v>70</v>
      </c>
      <c r="B63" s="250"/>
      <c r="C63" s="250"/>
      <c r="D63" s="250"/>
      <c r="E63" s="250"/>
      <c r="F63" s="250"/>
      <c r="G63" s="250"/>
      <c r="H63" s="250"/>
      <c r="I63" s="250"/>
      <c r="J63" s="250"/>
      <c r="K63" s="250"/>
      <c r="L63" s="250"/>
      <c r="M63" s="250"/>
      <c r="N63" s="250"/>
      <c r="O63" s="250"/>
      <c r="P63" s="250" t="s">
        <v>25</v>
      </c>
      <c r="Q63" s="250"/>
      <c r="R63" s="250"/>
      <c r="S63" s="250"/>
      <c r="T63" s="250"/>
      <c r="U63" s="250"/>
      <c r="V63" s="250"/>
      <c r="W63" s="250"/>
      <c r="X63" s="250"/>
      <c r="Y63" s="250"/>
      <c r="Z63" s="198"/>
      <c r="AA63" s="198"/>
      <c r="AB63" s="198"/>
      <c r="AC63" s="198"/>
      <c r="AD63" s="198"/>
      <c r="AE63" s="198"/>
      <c r="AF63" s="198"/>
      <c r="AG63" s="198"/>
      <c r="AH63" s="198"/>
      <c r="AI63" s="200"/>
      <c r="AJ63" s="200"/>
      <c r="AK63" s="200"/>
      <c r="AL63" s="200"/>
      <c r="AM63" s="200"/>
      <c r="AN63" s="200"/>
      <c r="AO63" s="200"/>
      <c r="AP63" s="201"/>
    </row>
    <row r="64" spans="1:94" s="21" customFormat="1" ht="12.2" customHeight="1" x14ac:dyDescent="0.25">
      <c r="A64" s="259"/>
      <c r="B64" s="250"/>
      <c r="C64" s="250"/>
      <c r="D64" s="250"/>
      <c r="E64" s="250"/>
      <c r="F64" s="250"/>
      <c r="G64" s="250"/>
      <c r="H64" s="250"/>
      <c r="I64" s="250"/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  <c r="U64" s="250"/>
      <c r="V64" s="250"/>
      <c r="W64" s="250"/>
      <c r="X64" s="250"/>
      <c r="Y64" s="250"/>
      <c r="Z64" s="198"/>
      <c r="AA64" s="198"/>
      <c r="AB64" s="198"/>
      <c r="AC64" s="198"/>
      <c r="AD64" s="198"/>
      <c r="AE64" s="198"/>
      <c r="AF64" s="198"/>
      <c r="AG64" s="198"/>
      <c r="AH64" s="198"/>
      <c r="AI64" s="200"/>
      <c r="AJ64" s="200"/>
      <c r="AK64" s="200"/>
      <c r="AL64" s="200"/>
      <c r="AM64" s="200"/>
      <c r="AN64" s="200"/>
      <c r="AO64" s="200"/>
      <c r="AP64" s="201"/>
    </row>
    <row r="65" spans="1:85" s="21" customFormat="1" ht="12.2" customHeight="1" x14ac:dyDescent="0.25">
      <c r="A65" s="253" t="s">
        <v>66</v>
      </c>
      <c r="B65" s="254"/>
      <c r="C65" s="254"/>
      <c r="D65" s="254"/>
      <c r="E65" s="254"/>
      <c r="F65" s="254"/>
      <c r="G65" s="254"/>
      <c r="H65" s="254"/>
      <c r="I65" s="254"/>
      <c r="J65" s="254"/>
      <c r="K65" s="254"/>
      <c r="L65" s="254"/>
      <c r="M65" s="254"/>
      <c r="N65" s="254"/>
      <c r="O65" s="255"/>
      <c r="P65" s="250" t="s">
        <v>22</v>
      </c>
      <c r="Q65" s="250"/>
      <c r="R65" s="250"/>
      <c r="S65" s="250"/>
      <c r="T65" s="250"/>
      <c r="U65" s="250"/>
      <c r="V65" s="250"/>
      <c r="W65" s="250"/>
      <c r="X65" s="250"/>
      <c r="Y65" s="250"/>
      <c r="Z65" s="198"/>
      <c r="AA65" s="198"/>
      <c r="AB65" s="198"/>
      <c r="AC65" s="198"/>
      <c r="AD65" s="198"/>
      <c r="AE65" s="198"/>
      <c r="AF65" s="198"/>
      <c r="AG65" s="198"/>
      <c r="AH65" s="198"/>
      <c r="AI65" s="200"/>
      <c r="AJ65" s="200"/>
      <c r="AK65" s="200"/>
      <c r="AL65" s="200"/>
      <c r="AM65" s="200"/>
      <c r="AN65" s="200"/>
      <c r="AO65" s="200"/>
      <c r="AP65" s="201"/>
    </row>
    <row r="66" spans="1:85" s="21" customFormat="1" ht="12.2" customHeight="1" thickBot="1" x14ac:dyDescent="0.3">
      <c r="A66" s="256"/>
      <c r="B66" s="257"/>
      <c r="C66" s="257"/>
      <c r="D66" s="257"/>
      <c r="E66" s="257"/>
      <c r="F66" s="257"/>
      <c r="G66" s="257"/>
      <c r="H66" s="257"/>
      <c r="I66" s="257"/>
      <c r="J66" s="257"/>
      <c r="K66" s="257"/>
      <c r="L66" s="257"/>
      <c r="M66" s="257"/>
      <c r="N66" s="257"/>
      <c r="O66" s="258"/>
      <c r="P66" s="251"/>
      <c r="Q66" s="251"/>
      <c r="R66" s="251"/>
      <c r="S66" s="251"/>
      <c r="T66" s="251"/>
      <c r="U66" s="251"/>
      <c r="V66" s="251"/>
      <c r="W66" s="251"/>
      <c r="X66" s="251"/>
      <c r="Y66" s="251"/>
      <c r="Z66" s="199"/>
      <c r="AA66" s="199"/>
      <c r="AB66" s="199"/>
      <c r="AC66" s="199"/>
      <c r="AD66" s="199"/>
      <c r="AE66" s="199"/>
      <c r="AF66" s="199"/>
      <c r="AG66" s="199"/>
      <c r="AH66" s="199"/>
      <c r="AI66" s="202"/>
      <c r="AJ66" s="202"/>
      <c r="AK66" s="202"/>
      <c r="AL66" s="202"/>
      <c r="AM66" s="202"/>
      <c r="AN66" s="202"/>
      <c r="AO66" s="202"/>
      <c r="AP66" s="203"/>
    </row>
    <row r="67" spans="1:85" s="21" customFormat="1" ht="7.5" customHeight="1" thickTop="1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</row>
    <row r="68" spans="1:85" s="114" customFormat="1" ht="21.6" customHeight="1" x14ac:dyDescent="0.2">
      <c r="A68" s="113"/>
      <c r="B68" s="91"/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224" t="s">
        <v>81</v>
      </c>
      <c r="P68" s="224"/>
      <c r="Q68" s="224"/>
      <c r="R68" s="224"/>
      <c r="S68" s="224"/>
      <c r="T68" s="224"/>
      <c r="U68" s="224"/>
      <c r="V68" s="224"/>
      <c r="W68" s="224"/>
      <c r="X68" s="224"/>
      <c r="Y68" s="224"/>
      <c r="Z68" s="224"/>
      <c r="AA68" s="224"/>
      <c r="AB68" s="224"/>
      <c r="AC68" s="224"/>
      <c r="AD68" s="224"/>
      <c r="AE68" s="224"/>
      <c r="AF68" s="91"/>
      <c r="AG68" s="91"/>
      <c r="AH68" s="91"/>
      <c r="AI68" s="91"/>
      <c r="AJ68" s="91"/>
      <c r="AK68" s="91"/>
      <c r="AL68" s="91"/>
      <c r="AM68" s="176" t="s">
        <v>82</v>
      </c>
      <c r="AN68" s="176"/>
      <c r="AO68" s="176"/>
      <c r="AP68" s="176"/>
    </row>
    <row r="69" spans="1:85" s="21" customFormat="1" ht="14.25" customHeight="1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</row>
    <row r="70" spans="1:85" s="21" customFormat="1" ht="14.25" customHeight="1" x14ac:dyDescent="0.2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</row>
    <row r="71" spans="1:85" s="21" customFormat="1" ht="14.25" customHeight="1" x14ac:dyDescent="0.2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</row>
    <row r="72" spans="1:85" s="21" customFormat="1" ht="9.9499999999999993" customHeight="1" x14ac:dyDescent="0.25">
      <c r="A72" s="223" t="s">
        <v>67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  <c r="AI72" s="223"/>
      <c r="AJ72" s="223"/>
      <c r="AK72" s="223"/>
      <c r="AL72" s="223"/>
      <c r="AM72" s="223"/>
      <c r="AN72" s="223"/>
      <c r="AO72" s="223"/>
      <c r="AP72" s="223"/>
    </row>
    <row r="73" spans="1:85" s="21" customFormat="1" ht="9.9499999999999993" customHeight="1" thickBot="1" x14ac:dyDescent="0.3">
      <c r="A73" s="252"/>
      <c r="B73" s="252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  <c r="AP73" s="252"/>
    </row>
    <row r="74" spans="1:85" s="21" customFormat="1" ht="12.95" customHeight="1" thickTop="1" x14ac:dyDescent="0.25">
      <c r="A74" s="158"/>
      <c r="B74" s="159"/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59"/>
      <c r="N74" s="165"/>
      <c r="O74" s="213" t="s">
        <v>110</v>
      </c>
      <c r="P74" s="213"/>
      <c r="Q74" s="213"/>
      <c r="R74" s="213"/>
      <c r="S74" s="213"/>
      <c r="T74" s="214"/>
      <c r="U74" s="217" t="s">
        <v>111</v>
      </c>
      <c r="V74" s="213"/>
      <c r="W74" s="213"/>
      <c r="X74" s="213"/>
      <c r="Y74" s="214"/>
      <c r="Z74" s="213" t="s">
        <v>112</v>
      </c>
      <c r="AA74" s="213"/>
      <c r="AB74" s="213"/>
      <c r="AC74" s="213"/>
      <c r="AD74" s="213"/>
      <c r="AE74" s="169"/>
      <c r="AF74" s="159"/>
      <c r="AG74" s="159"/>
      <c r="AH74" s="159"/>
      <c r="AI74" s="159"/>
      <c r="AJ74" s="159"/>
      <c r="AK74" s="159"/>
      <c r="AL74" s="159"/>
      <c r="AM74" s="159"/>
      <c r="AN74" s="159"/>
      <c r="AO74" s="159"/>
      <c r="AP74" s="160"/>
    </row>
    <row r="75" spans="1:85" s="21" customFormat="1" ht="12.95" customHeight="1" x14ac:dyDescent="0.25">
      <c r="A75" s="166"/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8"/>
      <c r="O75" s="215"/>
      <c r="P75" s="215"/>
      <c r="Q75" s="215"/>
      <c r="R75" s="215"/>
      <c r="S75" s="215"/>
      <c r="T75" s="216"/>
      <c r="U75" s="218"/>
      <c r="V75" s="215"/>
      <c r="W75" s="215"/>
      <c r="X75" s="215"/>
      <c r="Y75" s="216"/>
      <c r="Z75" s="215"/>
      <c r="AA75" s="215"/>
      <c r="AB75" s="215"/>
      <c r="AC75" s="215"/>
      <c r="AD75" s="215"/>
      <c r="AE75" s="170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71"/>
    </row>
    <row r="76" spans="1:85" s="21" customFormat="1" ht="12.95" customHeight="1" x14ac:dyDescent="0.25">
      <c r="A76" s="219" t="s">
        <v>43</v>
      </c>
      <c r="B76" s="220"/>
      <c r="C76" s="220"/>
      <c r="D76" s="220"/>
      <c r="E76" s="220"/>
      <c r="F76" s="220"/>
      <c r="G76" s="220"/>
      <c r="H76" s="260">
        <v>500</v>
      </c>
      <c r="I76" s="261"/>
      <c r="J76" s="262">
        <v>200</v>
      </c>
      <c r="K76" s="263"/>
      <c r="L76" s="263"/>
      <c r="M76" s="263"/>
      <c r="N76" s="264"/>
      <c r="O76" s="239" t="s">
        <v>8</v>
      </c>
      <c r="P76" s="239"/>
      <c r="Q76" s="239"/>
      <c r="R76" s="102"/>
      <c r="S76" s="102"/>
      <c r="T76" s="136"/>
      <c r="U76" s="265"/>
      <c r="V76" s="265"/>
      <c r="W76" s="265"/>
      <c r="X76" s="265"/>
      <c r="Y76" s="265"/>
      <c r="Z76" s="244">
        <v>-1070.4000000000001</v>
      </c>
      <c r="AA76" s="244"/>
      <c r="AB76" s="244"/>
      <c r="AC76" s="244"/>
      <c r="AD76" s="244"/>
      <c r="AE76" s="267" t="s">
        <v>6</v>
      </c>
      <c r="AF76" s="267"/>
      <c r="AG76" s="267"/>
      <c r="AH76" s="267"/>
      <c r="AI76" s="267"/>
      <c r="AJ76" s="196" t="s">
        <v>40</v>
      </c>
      <c r="AK76" s="196"/>
      <c r="AL76" s="228">
        <v>240.5</v>
      </c>
      <c r="AM76" s="229"/>
      <c r="AN76" s="229"/>
      <c r="AO76" s="229"/>
      <c r="AP76" s="230"/>
    </row>
    <row r="77" spans="1:85" s="21" customFormat="1" ht="12.95" customHeight="1" x14ac:dyDescent="0.25">
      <c r="A77" s="221"/>
      <c r="B77" s="222"/>
      <c r="C77" s="222"/>
      <c r="D77" s="222"/>
      <c r="E77" s="222"/>
      <c r="F77" s="222"/>
      <c r="G77" s="222"/>
      <c r="H77" s="197" t="s">
        <v>44</v>
      </c>
      <c r="I77" s="247"/>
      <c r="J77" s="236"/>
      <c r="K77" s="237"/>
      <c r="L77" s="237"/>
      <c r="M77" s="237"/>
      <c r="N77" s="238"/>
      <c r="O77" s="220"/>
      <c r="P77" s="220"/>
      <c r="Q77" s="220"/>
      <c r="R77" s="67"/>
      <c r="S77" s="68"/>
      <c r="T77" s="69"/>
      <c r="U77" s="265"/>
      <c r="V77" s="265"/>
      <c r="W77" s="265"/>
      <c r="X77" s="265"/>
      <c r="Y77" s="265"/>
      <c r="Z77" s="266"/>
      <c r="AA77" s="266"/>
      <c r="AB77" s="266"/>
      <c r="AC77" s="266"/>
      <c r="AD77" s="266"/>
      <c r="AE77" s="220"/>
      <c r="AF77" s="220"/>
      <c r="AG77" s="220"/>
      <c r="AH77" s="220"/>
      <c r="AI77" s="220"/>
      <c r="AJ77" s="197"/>
      <c r="AK77" s="197"/>
      <c r="AL77" s="183"/>
      <c r="AM77" s="184"/>
      <c r="AN77" s="184"/>
      <c r="AO77" s="184"/>
      <c r="AP77" s="231"/>
    </row>
    <row r="78" spans="1:85" s="21" customFormat="1" ht="12.95" customHeight="1" x14ac:dyDescent="0.25">
      <c r="A78" s="221" t="s">
        <v>45</v>
      </c>
      <c r="B78" s="222"/>
      <c r="C78" s="222"/>
      <c r="D78" s="222"/>
      <c r="E78" s="222"/>
      <c r="F78" s="222"/>
      <c r="G78" s="222"/>
      <c r="H78" s="248">
        <v>500</v>
      </c>
      <c r="I78" s="249"/>
      <c r="J78" s="236">
        <v>200</v>
      </c>
      <c r="K78" s="237"/>
      <c r="L78" s="237"/>
      <c r="M78" s="237"/>
      <c r="N78" s="238"/>
      <c r="O78" s="239" t="s">
        <v>113</v>
      </c>
      <c r="P78" s="239"/>
      <c r="Q78" s="239"/>
      <c r="R78" s="245" t="s">
        <v>114</v>
      </c>
      <c r="S78" s="245"/>
      <c r="T78" s="246"/>
      <c r="U78" s="244">
        <v>3.3</v>
      </c>
      <c r="V78" s="244"/>
      <c r="W78" s="244"/>
      <c r="X78" s="244"/>
      <c r="Y78" s="244"/>
      <c r="Z78" s="244">
        <v>3.2</v>
      </c>
      <c r="AA78" s="244"/>
      <c r="AB78" s="244"/>
      <c r="AC78" s="244"/>
      <c r="AD78" s="244"/>
      <c r="AE78" s="268" t="s">
        <v>7</v>
      </c>
      <c r="AF78" s="239"/>
      <c r="AG78" s="239"/>
      <c r="AH78" s="239"/>
      <c r="AI78" s="239"/>
      <c r="AJ78" s="245" t="s">
        <v>62</v>
      </c>
      <c r="AK78" s="246"/>
      <c r="AL78" s="189">
        <v>1.1279999999999999</v>
      </c>
      <c r="AM78" s="190"/>
      <c r="AN78" s="190"/>
      <c r="AO78" s="190"/>
      <c r="AP78" s="191"/>
    </row>
    <row r="79" spans="1:85" s="22" customFormat="1" ht="12.95" customHeight="1" x14ac:dyDescent="0.2">
      <c r="A79" s="221"/>
      <c r="B79" s="222"/>
      <c r="C79" s="222"/>
      <c r="D79" s="222"/>
      <c r="E79" s="222"/>
      <c r="F79" s="222"/>
      <c r="G79" s="222"/>
      <c r="H79" s="197" t="s">
        <v>44</v>
      </c>
      <c r="I79" s="247"/>
      <c r="J79" s="236"/>
      <c r="K79" s="237"/>
      <c r="L79" s="237"/>
      <c r="M79" s="237"/>
      <c r="N79" s="238"/>
      <c r="O79" s="220"/>
      <c r="P79" s="220"/>
      <c r="Q79" s="220"/>
      <c r="R79" s="197"/>
      <c r="S79" s="197"/>
      <c r="T79" s="247"/>
      <c r="U79" s="244"/>
      <c r="V79" s="244"/>
      <c r="W79" s="244"/>
      <c r="X79" s="244"/>
      <c r="Y79" s="244"/>
      <c r="Z79" s="244"/>
      <c r="AA79" s="244"/>
      <c r="AB79" s="244"/>
      <c r="AC79" s="244"/>
      <c r="AD79" s="244"/>
      <c r="AE79" s="269"/>
      <c r="AF79" s="220"/>
      <c r="AG79" s="220"/>
      <c r="AH79" s="220"/>
      <c r="AI79" s="220"/>
      <c r="AJ79" s="197"/>
      <c r="AK79" s="247"/>
      <c r="AL79" s="192"/>
      <c r="AM79" s="193"/>
      <c r="AN79" s="193"/>
      <c r="AO79" s="193"/>
      <c r="AP79" s="194"/>
    </row>
    <row r="80" spans="1:85" s="22" customFormat="1" ht="12.95" customHeight="1" x14ac:dyDescent="0.2">
      <c r="A80" s="221" t="s">
        <v>46</v>
      </c>
      <c r="B80" s="222"/>
      <c r="C80" s="222"/>
      <c r="D80" s="222"/>
      <c r="E80" s="222"/>
      <c r="F80" s="222"/>
      <c r="G80" s="222"/>
      <c r="H80" s="248">
        <v>500</v>
      </c>
      <c r="I80" s="249"/>
      <c r="J80" s="236">
        <v>200</v>
      </c>
      <c r="K80" s="237"/>
      <c r="L80" s="237"/>
      <c r="M80" s="237"/>
      <c r="N80" s="238"/>
      <c r="O80" s="239" t="s">
        <v>113</v>
      </c>
      <c r="P80" s="239"/>
      <c r="Q80" s="239"/>
      <c r="R80" s="245" t="s">
        <v>116</v>
      </c>
      <c r="S80" s="245"/>
      <c r="T80" s="246"/>
      <c r="U80" s="244">
        <v>5</v>
      </c>
      <c r="V80" s="244"/>
      <c r="W80" s="244"/>
      <c r="X80" s="244"/>
      <c r="Y80" s="244"/>
      <c r="Z80" s="244">
        <v>4.9000000000000004</v>
      </c>
      <c r="AA80" s="244"/>
      <c r="AB80" s="244"/>
      <c r="AC80" s="244"/>
      <c r="AD80" s="244"/>
      <c r="AE80" s="239" t="s">
        <v>115</v>
      </c>
      <c r="AF80" s="239"/>
      <c r="AG80" s="239"/>
      <c r="AH80" s="239"/>
      <c r="AI80" s="239"/>
      <c r="AJ80" s="245" t="s">
        <v>62</v>
      </c>
      <c r="AK80" s="246"/>
      <c r="AL80" s="180" t="s">
        <v>138</v>
      </c>
      <c r="AM80" s="181"/>
      <c r="AN80" s="181"/>
      <c r="AO80" s="181"/>
      <c r="AP80" s="235"/>
      <c r="CF80" s="4"/>
      <c r="CG80" s="23"/>
    </row>
    <row r="81" spans="1:85" s="22" customFormat="1" ht="12.95" customHeight="1" x14ac:dyDescent="0.2">
      <c r="A81" s="221"/>
      <c r="B81" s="222"/>
      <c r="C81" s="222"/>
      <c r="D81" s="222"/>
      <c r="E81" s="222"/>
      <c r="F81" s="222"/>
      <c r="G81" s="222"/>
      <c r="H81" s="197" t="s">
        <v>44</v>
      </c>
      <c r="I81" s="247"/>
      <c r="J81" s="236"/>
      <c r="K81" s="237"/>
      <c r="L81" s="237"/>
      <c r="M81" s="237"/>
      <c r="N81" s="238"/>
      <c r="O81" s="220"/>
      <c r="P81" s="220"/>
      <c r="Q81" s="220"/>
      <c r="R81" s="197"/>
      <c r="S81" s="197"/>
      <c r="T81" s="247"/>
      <c r="U81" s="244"/>
      <c r="V81" s="244"/>
      <c r="W81" s="244"/>
      <c r="X81" s="244"/>
      <c r="Y81" s="244"/>
      <c r="Z81" s="244"/>
      <c r="AA81" s="244"/>
      <c r="AB81" s="244"/>
      <c r="AC81" s="244"/>
      <c r="AD81" s="244"/>
      <c r="AE81" s="220"/>
      <c r="AF81" s="220"/>
      <c r="AG81" s="220"/>
      <c r="AH81" s="220"/>
      <c r="AI81" s="220"/>
      <c r="AJ81" s="197"/>
      <c r="AK81" s="247"/>
      <c r="AL81" s="183"/>
      <c r="AM81" s="184"/>
      <c r="AN81" s="184"/>
      <c r="AO81" s="184"/>
      <c r="AP81" s="231"/>
      <c r="CF81" s="4"/>
      <c r="CG81" s="23"/>
    </row>
    <row r="82" spans="1:85" s="22" customFormat="1" ht="12.95" customHeight="1" x14ac:dyDescent="0.2">
      <c r="A82" s="221" t="s">
        <v>48</v>
      </c>
      <c r="B82" s="222"/>
      <c r="C82" s="222"/>
      <c r="D82" s="222"/>
      <c r="E82" s="222"/>
      <c r="F82" s="222"/>
      <c r="G82" s="222"/>
      <c r="H82" s="248">
        <v>60</v>
      </c>
      <c r="I82" s="249"/>
      <c r="J82" s="236">
        <v>60</v>
      </c>
      <c r="K82" s="237"/>
      <c r="L82" s="237"/>
      <c r="M82" s="237"/>
      <c r="N82" s="238"/>
      <c r="O82" s="239" t="s">
        <v>113</v>
      </c>
      <c r="P82" s="239"/>
      <c r="Q82" s="239"/>
      <c r="R82" s="240" t="s">
        <v>117</v>
      </c>
      <c r="S82" s="240"/>
      <c r="T82" s="241"/>
      <c r="U82" s="244">
        <v>15</v>
      </c>
      <c r="V82" s="244"/>
      <c r="W82" s="244"/>
      <c r="X82" s="244"/>
      <c r="Y82" s="244"/>
      <c r="Z82" s="244">
        <v>14.6</v>
      </c>
      <c r="AA82" s="244"/>
      <c r="AB82" s="244"/>
      <c r="AC82" s="244"/>
      <c r="AD82" s="244"/>
      <c r="AE82" s="239" t="s">
        <v>47</v>
      </c>
      <c r="AF82" s="239"/>
      <c r="AG82" s="239"/>
      <c r="AH82" s="239"/>
      <c r="AI82" s="239"/>
      <c r="AJ82" s="239"/>
      <c r="AK82" s="239"/>
      <c r="AL82" s="180">
        <v>1.54</v>
      </c>
      <c r="AM82" s="181"/>
      <c r="AN82" s="181"/>
      <c r="AO82" s="181"/>
      <c r="AP82" s="235"/>
      <c r="CF82" s="4"/>
      <c r="CG82" s="23"/>
    </row>
    <row r="83" spans="1:85" s="22" customFormat="1" ht="12.95" customHeight="1" x14ac:dyDescent="0.2">
      <c r="A83" s="221"/>
      <c r="B83" s="222"/>
      <c r="C83" s="222"/>
      <c r="D83" s="222"/>
      <c r="E83" s="222"/>
      <c r="F83" s="222"/>
      <c r="G83" s="222"/>
      <c r="H83" s="433" t="s">
        <v>50</v>
      </c>
      <c r="I83" s="434"/>
      <c r="J83" s="236"/>
      <c r="K83" s="237"/>
      <c r="L83" s="237"/>
      <c r="M83" s="237"/>
      <c r="N83" s="238"/>
      <c r="O83" s="220"/>
      <c r="P83" s="220"/>
      <c r="Q83" s="220"/>
      <c r="R83" s="242"/>
      <c r="S83" s="242"/>
      <c r="T83" s="243"/>
      <c r="U83" s="244"/>
      <c r="V83" s="244"/>
      <c r="W83" s="244"/>
      <c r="X83" s="244"/>
      <c r="Y83" s="244"/>
      <c r="Z83" s="244"/>
      <c r="AA83" s="244"/>
      <c r="AB83" s="244"/>
      <c r="AC83" s="244"/>
      <c r="AD83" s="244"/>
      <c r="AE83" s="220"/>
      <c r="AF83" s="220"/>
      <c r="AG83" s="220"/>
      <c r="AH83" s="220"/>
      <c r="AI83" s="220"/>
      <c r="AJ83" s="220"/>
      <c r="AK83" s="220"/>
      <c r="AL83" s="183"/>
      <c r="AM83" s="184"/>
      <c r="AN83" s="184"/>
      <c r="AO83" s="184"/>
      <c r="AP83" s="231"/>
      <c r="CF83" s="24"/>
      <c r="CG83" s="23"/>
    </row>
    <row r="84" spans="1:85" s="22" customFormat="1" ht="12.95" customHeight="1" x14ac:dyDescent="0.2">
      <c r="A84" s="221" t="s">
        <v>51</v>
      </c>
      <c r="B84" s="222"/>
      <c r="C84" s="222"/>
      <c r="D84" s="222"/>
      <c r="E84" s="222"/>
      <c r="F84" s="222"/>
      <c r="G84" s="222"/>
      <c r="H84" s="245" t="s">
        <v>63</v>
      </c>
      <c r="I84" s="246"/>
      <c r="J84" s="425" t="s">
        <v>136</v>
      </c>
      <c r="K84" s="426"/>
      <c r="L84" s="426"/>
      <c r="M84" s="426"/>
      <c r="N84" s="427"/>
      <c r="O84" s="239" t="s">
        <v>113</v>
      </c>
      <c r="P84" s="239"/>
      <c r="Q84" s="239"/>
      <c r="R84" s="428" t="s">
        <v>118</v>
      </c>
      <c r="S84" s="428"/>
      <c r="T84" s="429"/>
      <c r="U84" s="432"/>
      <c r="V84" s="432"/>
      <c r="W84" s="432"/>
      <c r="X84" s="432"/>
      <c r="Y84" s="432"/>
      <c r="Z84" s="370">
        <v>14.9</v>
      </c>
      <c r="AA84" s="370"/>
      <c r="AB84" s="370"/>
      <c r="AC84" s="370"/>
      <c r="AD84" s="370"/>
      <c r="AE84" s="239" t="s">
        <v>52</v>
      </c>
      <c r="AF84" s="239"/>
      <c r="AG84" s="239"/>
      <c r="AH84" s="239"/>
      <c r="AI84" s="239"/>
      <c r="AJ84" s="239"/>
      <c r="AK84" s="239"/>
      <c r="AL84" s="180">
        <v>1.52</v>
      </c>
      <c r="AM84" s="181"/>
      <c r="AN84" s="181"/>
      <c r="AO84" s="181"/>
      <c r="AP84" s="235"/>
      <c r="CF84" s="24"/>
      <c r="CG84" s="23"/>
    </row>
    <row r="85" spans="1:85" s="22" customFormat="1" ht="12.95" customHeight="1" x14ac:dyDescent="0.2">
      <c r="A85" s="221"/>
      <c r="B85" s="222"/>
      <c r="C85" s="222"/>
      <c r="D85" s="222"/>
      <c r="E85" s="222"/>
      <c r="F85" s="222"/>
      <c r="G85" s="222"/>
      <c r="H85" s="197"/>
      <c r="I85" s="247"/>
      <c r="J85" s="425"/>
      <c r="K85" s="426"/>
      <c r="L85" s="426"/>
      <c r="M85" s="426"/>
      <c r="N85" s="427"/>
      <c r="O85" s="220"/>
      <c r="P85" s="220"/>
      <c r="Q85" s="220"/>
      <c r="R85" s="430"/>
      <c r="S85" s="430"/>
      <c r="T85" s="431"/>
      <c r="U85" s="265"/>
      <c r="V85" s="265"/>
      <c r="W85" s="265"/>
      <c r="X85" s="265"/>
      <c r="Y85" s="265"/>
      <c r="Z85" s="370"/>
      <c r="AA85" s="370"/>
      <c r="AB85" s="370"/>
      <c r="AC85" s="370"/>
      <c r="AD85" s="370"/>
      <c r="AE85" s="220"/>
      <c r="AF85" s="220"/>
      <c r="AG85" s="220"/>
      <c r="AH85" s="220"/>
      <c r="AI85" s="220"/>
      <c r="AJ85" s="220"/>
      <c r="AK85" s="220"/>
      <c r="AL85" s="183"/>
      <c r="AM85" s="184"/>
      <c r="AN85" s="184"/>
      <c r="AO85" s="184"/>
      <c r="AP85" s="231"/>
      <c r="CF85" s="24"/>
      <c r="CG85" s="23"/>
    </row>
    <row r="86" spans="1:85" s="21" customFormat="1" ht="12.95" customHeight="1" x14ac:dyDescent="0.25">
      <c r="A86" s="221" t="s">
        <v>53</v>
      </c>
      <c r="B86" s="222"/>
      <c r="C86" s="222"/>
      <c r="D86" s="222"/>
      <c r="E86" s="222"/>
      <c r="F86" s="222"/>
      <c r="G86" s="222"/>
      <c r="H86" s="245" t="s">
        <v>63</v>
      </c>
      <c r="I86" s="246"/>
      <c r="J86" s="425" t="s">
        <v>137</v>
      </c>
      <c r="K86" s="426"/>
      <c r="L86" s="426"/>
      <c r="M86" s="426"/>
      <c r="N86" s="427"/>
      <c r="O86" s="239" t="s">
        <v>113</v>
      </c>
      <c r="P86" s="239"/>
      <c r="Q86" s="239"/>
      <c r="R86" s="428" t="s">
        <v>119</v>
      </c>
      <c r="S86" s="428"/>
      <c r="T86" s="429"/>
      <c r="U86" s="265"/>
      <c r="V86" s="265"/>
      <c r="W86" s="265"/>
      <c r="X86" s="265"/>
      <c r="Y86" s="265"/>
      <c r="Z86" s="244">
        <v>-15.1</v>
      </c>
      <c r="AA86" s="244"/>
      <c r="AB86" s="244"/>
      <c r="AC86" s="244"/>
      <c r="AD86" s="244"/>
      <c r="AE86" s="239" t="s">
        <v>49</v>
      </c>
      <c r="AF86" s="239"/>
      <c r="AG86" s="239"/>
      <c r="AH86" s="239"/>
      <c r="AI86" s="239"/>
      <c r="AJ86" s="239"/>
      <c r="AK86" s="239"/>
      <c r="AL86" s="189">
        <v>1.018</v>
      </c>
      <c r="AM86" s="190"/>
      <c r="AN86" s="190"/>
      <c r="AO86" s="190"/>
      <c r="AP86" s="191"/>
    </row>
    <row r="87" spans="1:85" s="21" customFormat="1" ht="12.95" customHeight="1" x14ac:dyDescent="0.25">
      <c r="A87" s="221"/>
      <c r="B87" s="222"/>
      <c r="C87" s="222"/>
      <c r="D87" s="222"/>
      <c r="E87" s="222"/>
      <c r="F87" s="222"/>
      <c r="G87" s="222"/>
      <c r="H87" s="197"/>
      <c r="I87" s="247"/>
      <c r="J87" s="425"/>
      <c r="K87" s="426"/>
      <c r="L87" s="426"/>
      <c r="M87" s="426"/>
      <c r="N87" s="427"/>
      <c r="O87" s="220"/>
      <c r="P87" s="220"/>
      <c r="Q87" s="220"/>
      <c r="R87" s="430"/>
      <c r="S87" s="430"/>
      <c r="T87" s="431"/>
      <c r="U87" s="435"/>
      <c r="V87" s="435"/>
      <c r="W87" s="435"/>
      <c r="X87" s="435"/>
      <c r="Y87" s="435"/>
      <c r="Z87" s="244"/>
      <c r="AA87" s="244"/>
      <c r="AB87" s="244"/>
      <c r="AC87" s="244"/>
      <c r="AD87" s="244"/>
      <c r="AE87" s="220"/>
      <c r="AF87" s="220"/>
      <c r="AG87" s="220"/>
      <c r="AH87" s="220"/>
      <c r="AI87" s="220"/>
      <c r="AJ87" s="220"/>
      <c r="AK87" s="220"/>
      <c r="AL87" s="192"/>
      <c r="AM87" s="193"/>
      <c r="AN87" s="193"/>
      <c r="AO87" s="193"/>
      <c r="AP87" s="194"/>
    </row>
    <row r="88" spans="1:85" s="21" customFormat="1" ht="12.95" customHeight="1" x14ac:dyDescent="0.25">
      <c r="A88" s="221" t="s">
        <v>55</v>
      </c>
      <c r="B88" s="222"/>
      <c r="C88" s="222"/>
      <c r="D88" s="222"/>
      <c r="E88" s="222"/>
      <c r="F88" s="222"/>
      <c r="G88" s="222"/>
      <c r="H88" s="245" t="s">
        <v>63</v>
      </c>
      <c r="I88" s="246"/>
      <c r="J88" s="425" t="s">
        <v>137</v>
      </c>
      <c r="K88" s="426"/>
      <c r="L88" s="426"/>
      <c r="M88" s="426"/>
      <c r="N88" s="427"/>
      <c r="O88" s="239" t="s">
        <v>113</v>
      </c>
      <c r="P88" s="239"/>
      <c r="Q88" s="239"/>
      <c r="R88" s="240" t="s">
        <v>120</v>
      </c>
      <c r="S88" s="240"/>
      <c r="T88" s="241"/>
      <c r="U88" s="244">
        <v>24.1</v>
      </c>
      <c r="V88" s="244"/>
      <c r="W88" s="244"/>
      <c r="X88" s="244"/>
      <c r="Y88" s="244"/>
      <c r="Z88" s="244">
        <v>23.5</v>
      </c>
      <c r="AA88" s="244"/>
      <c r="AB88" s="244"/>
      <c r="AC88" s="244"/>
      <c r="AD88" s="244"/>
      <c r="AE88" s="239" t="s">
        <v>54</v>
      </c>
      <c r="AF88" s="239"/>
      <c r="AG88" s="239"/>
      <c r="AH88" s="239"/>
      <c r="AI88" s="239"/>
      <c r="AJ88" s="239"/>
      <c r="AK88" s="239"/>
      <c r="AL88" s="189">
        <v>0.96299999999999997</v>
      </c>
      <c r="AM88" s="190"/>
      <c r="AN88" s="190"/>
      <c r="AO88" s="190"/>
      <c r="AP88" s="191"/>
    </row>
    <row r="89" spans="1:85" s="21" customFormat="1" ht="12.95" customHeight="1" x14ac:dyDescent="0.25">
      <c r="A89" s="221"/>
      <c r="B89" s="222"/>
      <c r="C89" s="222"/>
      <c r="D89" s="222"/>
      <c r="E89" s="222"/>
      <c r="F89" s="222"/>
      <c r="G89" s="222"/>
      <c r="H89" s="197"/>
      <c r="I89" s="247"/>
      <c r="J89" s="425"/>
      <c r="K89" s="426"/>
      <c r="L89" s="426"/>
      <c r="M89" s="426"/>
      <c r="N89" s="427"/>
      <c r="O89" s="220"/>
      <c r="P89" s="220"/>
      <c r="Q89" s="220"/>
      <c r="R89" s="242"/>
      <c r="S89" s="242"/>
      <c r="T89" s="243"/>
      <c r="U89" s="244"/>
      <c r="V89" s="244"/>
      <c r="W89" s="244"/>
      <c r="X89" s="244"/>
      <c r="Y89" s="244"/>
      <c r="Z89" s="244"/>
      <c r="AA89" s="244"/>
      <c r="AB89" s="244"/>
      <c r="AC89" s="244"/>
      <c r="AD89" s="244"/>
      <c r="AE89" s="220"/>
      <c r="AF89" s="220"/>
      <c r="AG89" s="220"/>
      <c r="AH89" s="220"/>
      <c r="AI89" s="220"/>
      <c r="AJ89" s="220"/>
      <c r="AK89" s="220"/>
      <c r="AL89" s="192"/>
      <c r="AM89" s="193"/>
      <c r="AN89" s="193"/>
      <c r="AO89" s="193"/>
      <c r="AP89" s="194"/>
    </row>
    <row r="90" spans="1:85" s="22" customFormat="1" ht="12.95" customHeight="1" x14ac:dyDescent="0.2">
      <c r="A90" s="439" t="s">
        <v>57</v>
      </c>
      <c r="B90" s="440"/>
      <c r="C90" s="440"/>
      <c r="D90" s="440"/>
      <c r="E90" s="440"/>
      <c r="F90" s="440"/>
      <c r="G90" s="440"/>
      <c r="H90" s="245"/>
      <c r="I90" s="246"/>
      <c r="J90" s="425" t="s">
        <v>137</v>
      </c>
      <c r="K90" s="426"/>
      <c r="L90" s="426"/>
      <c r="M90" s="426"/>
      <c r="N90" s="427"/>
      <c r="O90" s="239" t="s">
        <v>113</v>
      </c>
      <c r="P90" s="239"/>
      <c r="Q90" s="239"/>
      <c r="R90" s="441" t="s">
        <v>121</v>
      </c>
      <c r="S90" s="441"/>
      <c r="T90" s="442"/>
      <c r="U90" s="266">
        <v>-3.2</v>
      </c>
      <c r="V90" s="266"/>
      <c r="W90" s="266"/>
      <c r="X90" s="266"/>
      <c r="Y90" s="266"/>
      <c r="Z90" s="438"/>
      <c r="AA90" s="438"/>
      <c r="AB90" s="438"/>
      <c r="AC90" s="438"/>
      <c r="AD90" s="438"/>
      <c r="AE90" s="239" t="s">
        <v>56</v>
      </c>
      <c r="AF90" s="239"/>
      <c r="AG90" s="239"/>
      <c r="AH90" s="239"/>
      <c r="AI90" s="239"/>
      <c r="AJ90" s="239"/>
      <c r="AK90" s="239"/>
      <c r="AL90" s="189">
        <v>1</v>
      </c>
      <c r="AM90" s="190"/>
      <c r="AN90" s="190"/>
      <c r="AO90" s="190"/>
      <c r="AP90" s="191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CF90" s="24"/>
      <c r="CG90" s="23"/>
    </row>
    <row r="91" spans="1:85" s="21" customFormat="1" ht="12.95" customHeight="1" x14ac:dyDescent="0.25">
      <c r="A91" s="439"/>
      <c r="B91" s="440"/>
      <c r="C91" s="440"/>
      <c r="D91" s="440"/>
      <c r="E91" s="440"/>
      <c r="F91" s="440"/>
      <c r="G91" s="440"/>
      <c r="H91" s="197"/>
      <c r="I91" s="247"/>
      <c r="J91" s="425"/>
      <c r="K91" s="426"/>
      <c r="L91" s="426"/>
      <c r="M91" s="426"/>
      <c r="N91" s="427"/>
      <c r="O91" s="220"/>
      <c r="P91" s="220"/>
      <c r="Q91" s="220"/>
      <c r="R91" s="443"/>
      <c r="S91" s="443"/>
      <c r="T91" s="444"/>
      <c r="U91" s="445"/>
      <c r="V91" s="445"/>
      <c r="W91" s="445"/>
      <c r="X91" s="445"/>
      <c r="Y91" s="445"/>
      <c r="Z91" s="438"/>
      <c r="AA91" s="438"/>
      <c r="AB91" s="438"/>
      <c r="AC91" s="438"/>
      <c r="AD91" s="438"/>
      <c r="AE91" s="220"/>
      <c r="AF91" s="220"/>
      <c r="AG91" s="220"/>
      <c r="AH91" s="220"/>
      <c r="AI91" s="220"/>
      <c r="AJ91" s="220"/>
      <c r="AK91" s="220"/>
      <c r="AL91" s="192"/>
      <c r="AM91" s="193"/>
      <c r="AN91" s="193"/>
      <c r="AO91" s="193"/>
      <c r="AP91" s="194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</row>
    <row r="92" spans="1:85" s="21" customFormat="1" ht="12.95" customHeight="1" x14ac:dyDescent="0.25">
      <c r="A92" s="221" t="s">
        <v>58</v>
      </c>
      <c r="B92" s="222"/>
      <c r="C92" s="222"/>
      <c r="D92" s="222"/>
      <c r="E92" s="222"/>
      <c r="F92" s="222"/>
      <c r="G92" s="222"/>
      <c r="H92" s="245" t="s">
        <v>63</v>
      </c>
      <c r="I92" s="246"/>
      <c r="J92" s="425" t="s">
        <v>137</v>
      </c>
      <c r="K92" s="426"/>
      <c r="L92" s="426"/>
      <c r="M92" s="426"/>
      <c r="N92" s="427"/>
      <c r="O92" s="472" t="s">
        <v>123</v>
      </c>
      <c r="P92" s="473"/>
      <c r="Q92" s="172"/>
      <c r="R92" s="173"/>
      <c r="S92" s="239" t="s">
        <v>124</v>
      </c>
      <c r="T92" s="239"/>
      <c r="U92" s="239"/>
      <c r="V92" s="239"/>
      <c r="W92" s="173"/>
      <c r="X92" s="239" t="s">
        <v>125</v>
      </c>
      <c r="Y92" s="390"/>
      <c r="Z92" s="180">
        <v>26.2</v>
      </c>
      <c r="AA92" s="181"/>
      <c r="AB92" s="181"/>
      <c r="AC92" s="181"/>
      <c r="AD92" s="182"/>
      <c r="AE92" s="436" t="s">
        <v>68</v>
      </c>
      <c r="AF92" s="436"/>
      <c r="AG92" s="436"/>
      <c r="AH92" s="436"/>
      <c r="AI92" s="436"/>
      <c r="AJ92" s="452" t="str">
        <f>IF(AND(AL90&gt;=50,AL90&lt;110),"deg F",IF(ISBLANK(AL90)," ","deg C"))</f>
        <v>deg C</v>
      </c>
      <c r="AK92" s="453"/>
      <c r="AL92" s="232">
        <v>20.399999999999999</v>
      </c>
      <c r="AM92" s="233"/>
      <c r="AN92" s="233"/>
      <c r="AO92" s="233"/>
      <c r="AP92" s="234"/>
      <c r="AU92" s="25"/>
      <c r="AV92" s="25"/>
      <c r="AW92" s="25"/>
      <c r="AX92" s="68"/>
      <c r="AY92" s="68"/>
      <c r="AZ92" s="68"/>
      <c r="BA92" s="68"/>
      <c r="BB92" s="141"/>
      <c r="BC92" s="68"/>
      <c r="BD92" s="142"/>
      <c r="BE92" s="142"/>
      <c r="BF92" s="142"/>
      <c r="BG92" s="142"/>
      <c r="BH92" s="142"/>
      <c r="BI92" s="25"/>
      <c r="CF92" s="25"/>
      <c r="CG92" s="25"/>
    </row>
    <row r="93" spans="1:85" s="21" customFormat="1" ht="12.95" customHeight="1" x14ac:dyDescent="0.25">
      <c r="A93" s="221"/>
      <c r="B93" s="222"/>
      <c r="C93" s="222"/>
      <c r="D93" s="222"/>
      <c r="E93" s="222"/>
      <c r="F93" s="222"/>
      <c r="G93" s="222"/>
      <c r="H93" s="197"/>
      <c r="I93" s="247"/>
      <c r="J93" s="425"/>
      <c r="K93" s="426"/>
      <c r="L93" s="426"/>
      <c r="M93" s="426"/>
      <c r="N93" s="427"/>
      <c r="O93" s="474"/>
      <c r="P93" s="475"/>
      <c r="Q93" s="174"/>
      <c r="R93" s="175"/>
      <c r="S93" s="220"/>
      <c r="T93" s="220"/>
      <c r="U93" s="220"/>
      <c r="V93" s="220"/>
      <c r="W93" s="175"/>
      <c r="X93" s="220"/>
      <c r="Y93" s="391"/>
      <c r="Z93" s="183"/>
      <c r="AA93" s="184"/>
      <c r="AB93" s="184"/>
      <c r="AC93" s="184"/>
      <c r="AD93" s="185"/>
      <c r="AE93" s="437"/>
      <c r="AF93" s="437"/>
      <c r="AG93" s="437"/>
      <c r="AH93" s="437"/>
      <c r="AI93" s="437"/>
      <c r="AJ93" s="454"/>
      <c r="AK93" s="455"/>
      <c r="AL93" s="232"/>
      <c r="AM93" s="233"/>
      <c r="AN93" s="233"/>
      <c r="AO93" s="233"/>
      <c r="AP93" s="234"/>
      <c r="AU93" s="25"/>
      <c r="AV93" s="25"/>
      <c r="AW93" s="25"/>
      <c r="AX93" s="68"/>
      <c r="AY93" s="68"/>
      <c r="AZ93" s="68"/>
      <c r="BA93" s="68"/>
      <c r="BB93" s="68"/>
      <c r="BC93" s="68"/>
      <c r="BD93" s="142"/>
      <c r="BE93" s="142"/>
      <c r="BF93" s="142"/>
      <c r="BG93" s="142"/>
      <c r="BH93" s="142"/>
      <c r="BI93" s="25"/>
      <c r="CF93" s="25"/>
      <c r="CG93" s="25"/>
    </row>
    <row r="94" spans="1:85" s="21" customFormat="1" ht="12.95" customHeight="1" x14ac:dyDescent="0.25">
      <c r="A94" s="439" t="s">
        <v>122</v>
      </c>
      <c r="B94" s="440"/>
      <c r="C94" s="440"/>
      <c r="D94" s="440"/>
      <c r="E94" s="440"/>
      <c r="F94" s="440"/>
      <c r="G94" s="440"/>
      <c r="H94" s="245" t="s">
        <v>63</v>
      </c>
      <c r="I94" s="246"/>
      <c r="J94" s="425" t="s">
        <v>137</v>
      </c>
      <c r="K94" s="426"/>
      <c r="L94" s="426"/>
      <c r="M94" s="426"/>
      <c r="N94" s="427"/>
      <c r="O94" s="474"/>
      <c r="P94" s="475"/>
      <c r="Q94" s="143"/>
      <c r="R94" s="144"/>
      <c r="S94" s="470" t="s">
        <v>126</v>
      </c>
      <c r="T94" s="470"/>
      <c r="U94" s="470"/>
      <c r="V94" s="470"/>
      <c r="W94" s="145"/>
      <c r="X94" s="239" t="s">
        <v>125</v>
      </c>
      <c r="Y94" s="390"/>
      <c r="Z94" s="446">
        <v>50.2</v>
      </c>
      <c r="AA94" s="447"/>
      <c r="AB94" s="447"/>
      <c r="AC94" s="447"/>
      <c r="AD94" s="456"/>
      <c r="AE94" s="460" t="s">
        <v>69</v>
      </c>
      <c r="AF94" s="460"/>
      <c r="AG94" s="460"/>
      <c r="AH94" s="460"/>
      <c r="AI94" s="460"/>
      <c r="AJ94" s="452" t="str">
        <f>IF(AND(AL92&gt;600,AL92&lt;800),"mmHg",IF(AND(AL92&gt;26,AL92&lt;32),"inHg"," "))</f>
        <v xml:space="preserve"> </v>
      </c>
      <c r="AK94" s="453"/>
      <c r="AL94" s="462">
        <v>28.45</v>
      </c>
      <c r="AM94" s="463"/>
      <c r="AN94" s="463"/>
      <c r="AO94" s="463"/>
      <c r="AP94" s="464"/>
      <c r="AU94" s="25"/>
      <c r="AV94" s="25"/>
      <c r="AW94" s="25"/>
      <c r="AX94" s="68"/>
      <c r="AY94" s="68"/>
      <c r="AZ94" s="68"/>
      <c r="BA94" s="68"/>
      <c r="BB94" s="141"/>
      <c r="BC94" s="68"/>
      <c r="BD94" s="142"/>
      <c r="BE94" s="142"/>
      <c r="BF94" s="142"/>
      <c r="BG94" s="142"/>
      <c r="BH94" s="142"/>
      <c r="BI94" s="25"/>
      <c r="CF94" s="25"/>
      <c r="CG94" s="25"/>
    </row>
    <row r="95" spans="1:85" s="21" customFormat="1" ht="12.95" customHeight="1" x14ac:dyDescent="0.25">
      <c r="A95" s="439"/>
      <c r="B95" s="440"/>
      <c r="C95" s="440"/>
      <c r="D95" s="440"/>
      <c r="E95" s="440"/>
      <c r="F95" s="440"/>
      <c r="G95" s="440"/>
      <c r="H95" s="197"/>
      <c r="I95" s="247"/>
      <c r="J95" s="425"/>
      <c r="K95" s="426"/>
      <c r="L95" s="426"/>
      <c r="M95" s="426"/>
      <c r="N95" s="427"/>
      <c r="O95" s="474"/>
      <c r="P95" s="475"/>
      <c r="Q95" s="146"/>
      <c r="R95" s="147"/>
      <c r="S95" s="471"/>
      <c r="T95" s="471"/>
      <c r="U95" s="471"/>
      <c r="V95" s="471"/>
      <c r="W95" s="148"/>
      <c r="X95" s="220"/>
      <c r="Y95" s="391"/>
      <c r="Z95" s="457"/>
      <c r="AA95" s="458"/>
      <c r="AB95" s="458"/>
      <c r="AC95" s="458"/>
      <c r="AD95" s="459"/>
      <c r="AE95" s="461"/>
      <c r="AF95" s="461"/>
      <c r="AG95" s="461"/>
      <c r="AH95" s="461"/>
      <c r="AI95" s="461"/>
      <c r="AJ95" s="454"/>
      <c r="AK95" s="455"/>
      <c r="AL95" s="462"/>
      <c r="AM95" s="463"/>
      <c r="AN95" s="463"/>
      <c r="AO95" s="463"/>
      <c r="AP95" s="464"/>
      <c r="AU95" s="25"/>
      <c r="AV95" s="25"/>
      <c r="AW95" s="25"/>
      <c r="AX95" s="68"/>
      <c r="AY95" s="68"/>
      <c r="AZ95" s="68"/>
      <c r="BA95" s="25"/>
      <c r="BB95" s="68"/>
      <c r="BC95" s="68"/>
      <c r="BD95" s="142"/>
      <c r="BE95" s="142"/>
      <c r="BF95" s="142"/>
      <c r="BG95" s="142"/>
      <c r="BH95" s="142"/>
      <c r="BI95" s="25"/>
      <c r="CF95" s="25"/>
      <c r="CG95" s="25"/>
    </row>
    <row r="96" spans="1:85" s="21" customFormat="1" ht="12.95" customHeight="1" x14ac:dyDescent="0.25">
      <c r="A96" s="221" t="s">
        <v>59</v>
      </c>
      <c r="B96" s="222"/>
      <c r="C96" s="222"/>
      <c r="D96" s="222"/>
      <c r="E96" s="222"/>
      <c r="F96" s="222"/>
      <c r="G96" s="222"/>
      <c r="H96" s="245" t="s">
        <v>63</v>
      </c>
      <c r="I96" s="246"/>
      <c r="J96" s="425" t="s">
        <v>137</v>
      </c>
      <c r="K96" s="426"/>
      <c r="L96" s="426"/>
      <c r="M96" s="426"/>
      <c r="N96" s="427"/>
      <c r="O96" s="474"/>
      <c r="P96" s="475"/>
      <c r="Q96" s="149"/>
      <c r="R96" s="60"/>
      <c r="S96" s="470" t="s">
        <v>127</v>
      </c>
      <c r="T96" s="470"/>
      <c r="U96" s="470"/>
      <c r="V96" s="470"/>
      <c r="W96" s="60"/>
      <c r="X96" s="239" t="s">
        <v>125</v>
      </c>
      <c r="Y96" s="390"/>
      <c r="Z96" s="446">
        <v>-10.6</v>
      </c>
      <c r="AA96" s="447"/>
      <c r="AB96" s="447"/>
      <c r="AC96" s="447"/>
      <c r="AD96" s="456"/>
      <c r="AE96" s="150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51"/>
      <c r="AU96" s="25"/>
      <c r="AV96" s="25"/>
      <c r="AW96" s="25"/>
      <c r="AX96" s="68"/>
      <c r="AY96" s="68"/>
      <c r="AZ96" s="68"/>
      <c r="BA96" s="68"/>
      <c r="BB96" s="141"/>
      <c r="BC96" s="68"/>
      <c r="BD96" s="142"/>
      <c r="BE96" s="142"/>
      <c r="BF96" s="142"/>
      <c r="BG96" s="142"/>
      <c r="BH96" s="142"/>
      <c r="BI96" s="25"/>
      <c r="CF96" s="25"/>
      <c r="CG96" s="25"/>
    </row>
    <row r="97" spans="1:85" s="21" customFormat="1" ht="12.95" customHeight="1" thickBot="1" x14ac:dyDescent="0.3">
      <c r="A97" s="465"/>
      <c r="B97" s="239"/>
      <c r="C97" s="239"/>
      <c r="D97" s="239"/>
      <c r="E97" s="239"/>
      <c r="F97" s="239"/>
      <c r="G97" s="239"/>
      <c r="H97" s="196"/>
      <c r="I97" s="466"/>
      <c r="J97" s="467"/>
      <c r="K97" s="468"/>
      <c r="L97" s="468"/>
      <c r="M97" s="468"/>
      <c r="N97" s="469"/>
      <c r="O97" s="474"/>
      <c r="P97" s="475"/>
      <c r="Q97" s="149"/>
      <c r="R97" s="60"/>
      <c r="S97" s="471"/>
      <c r="T97" s="471"/>
      <c r="U97" s="471"/>
      <c r="V97" s="471"/>
      <c r="W97" s="60"/>
      <c r="X97" s="220"/>
      <c r="Y97" s="391"/>
      <c r="Z97" s="457"/>
      <c r="AA97" s="458"/>
      <c r="AB97" s="458"/>
      <c r="AC97" s="458"/>
      <c r="AD97" s="459"/>
      <c r="AE97" s="152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51"/>
      <c r="AU97" s="25"/>
      <c r="AV97" s="25"/>
      <c r="AW97" s="25"/>
      <c r="AX97" s="68"/>
      <c r="AY97" s="68"/>
      <c r="AZ97" s="68"/>
      <c r="BA97" s="68"/>
      <c r="BB97" s="68"/>
      <c r="BC97" s="68"/>
      <c r="BD97" s="142"/>
      <c r="BE97" s="142"/>
      <c r="BF97" s="142"/>
      <c r="BG97" s="142"/>
      <c r="BH97" s="142"/>
      <c r="BI97" s="25"/>
      <c r="CF97" s="25"/>
      <c r="CG97" s="25"/>
    </row>
    <row r="98" spans="1:85" s="21" customFormat="1" ht="12.95" customHeight="1" thickTop="1" x14ac:dyDescent="0.25">
      <c r="A98" s="153"/>
      <c r="B98" s="153"/>
      <c r="C98" s="153"/>
      <c r="D98" s="153"/>
      <c r="E98" s="153"/>
      <c r="F98" s="153"/>
      <c r="G98" s="153"/>
      <c r="H98" s="154"/>
      <c r="I98" s="154"/>
      <c r="J98" s="138"/>
      <c r="K98" s="138"/>
      <c r="L98" s="138"/>
      <c r="M98" s="138"/>
      <c r="N98" s="161"/>
      <c r="O98" s="476"/>
      <c r="P98" s="475"/>
      <c r="Q98" s="479" t="s">
        <v>128</v>
      </c>
      <c r="R98" s="470"/>
      <c r="S98" s="470"/>
      <c r="T98" s="470"/>
      <c r="U98" s="470"/>
      <c r="V98" s="470"/>
      <c r="W98" s="470"/>
      <c r="X98" s="239" t="s">
        <v>125</v>
      </c>
      <c r="Y98" s="390"/>
      <c r="Z98" s="446">
        <v>325</v>
      </c>
      <c r="AA98" s="447"/>
      <c r="AB98" s="447"/>
      <c r="AC98" s="447"/>
      <c r="AD98" s="448"/>
      <c r="AE98" s="163"/>
      <c r="AF98" s="155"/>
      <c r="AG98" s="155"/>
      <c r="AH98" s="155"/>
      <c r="AI98" s="155"/>
      <c r="AJ98" s="155"/>
      <c r="AK98" s="155"/>
      <c r="AL98" s="155"/>
      <c r="AM98" s="155"/>
      <c r="AN98" s="155"/>
      <c r="AO98" s="155"/>
      <c r="AP98" s="155"/>
      <c r="AU98" s="25"/>
      <c r="AV98" s="25"/>
      <c r="AW98" s="25"/>
      <c r="AX98" s="68"/>
      <c r="AY98" s="68"/>
      <c r="AZ98" s="68"/>
      <c r="BA98" s="68"/>
      <c r="BB98" s="141"/>
      <c r="BC98" s="68"/>
      <c r="BD98" s="156"/>
      <c r="BE98" s="156"/>
      <c r="BF98" s="156"/>
      <c r="BG98" s="156"/>
      <c r="BH98" s="156"/>
      <c r="BI98" s="25"/>
      <c r="CF98" s="25"/>
      <c r="CG98" s="25"/>
    </row>
    <row r="99" spans="1:85" s="21" customFormat="1" ht="12.95" customHeight="1" thickBot="1" x14ac:dyDescent="0.3">
      <c r="A99" s="157"/>
      <c r="B99" s="157"/>
      <c r="C99" s="157"/>
      <c r="D99" s="157"/>
      <c r="E99" s="157"/>
      <c r="F99" s="157"/>
      <c r="G99" s="157"/>
      <c r="H99" s="157"/>
      <c r="I99" s="157"/>
      <c r="J99" s="157"/>
      <c r="K99" s="157"/>
      <c r="L99" s="157"/>
      <c r="M99" s="157"/>
      <c r="N99" s="162"/>
      <c r="O99" s="477"/>
      <c r="P99" s="478"/>
      <c r="Q99" s="480"/>
      <c r="R99" s="481"/>
      <c r="S99" s="481"/>
      <c r="T99" s="481"/>
      <c r="U99" s="481"/>
      <c r="V99" s="481"/>
      <c r="W99" s="481"/>
      <c r="X99" s="369"/>
      <c r="Y99" s="482"/>
      <c r="Z99" s="449"/>
      <c r="AA99" s="450"/>
      <c r="AB99" s="450"/>
      <c r="AC99" s="450"/>
      <c r="AD99" s="451"/>
      <c r="AE99" s="164"/>
      <c r="AF99" s="157"/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U99" s="25"/>
      <c r="AV99" s="25"/>
      <c r="AW99" s="25"/>
      <c r="AX99" s="68"/>
      <c r="AY99" s="68"/>
      <c r="AZ99" s="68"/>
      <c r="BA99" s="68"/>
      <c r="BB99" s="68"/>
      <c r="BC99" s="68"/>
      <c r="BD99" s="156"/>
      <c r="BE99" s="156"/>
      <c r="BF99" s="156"/>
      <c r="BG99" s="156"/>
      <c r="BH99" s="156"/>
      <c r="BI99" s="25"/>
      <c r="CF99" s="25"/>
      <c r="CG99" s="25"/>
    </row>
    <row r="100" spans="1:85" s="21" customFormat="1" ht="8.25" customHeight="1" thickTop="1" x14ac:dyDescent="0.25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</row>
    <row r="101" spans="1:85" s="22" customFormat="1" ht="19.5" customHeight="1" x14ac:dyDescent="0.2">
      <c r="A101" s="225" t="s">
        <v>78</v>
      </c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6" t="s">
        <v>79</v>
      </c>
      <c r="R101" s="226"/>
      <c r="S101" s="226"/>
      <c r="T101" s="227" t="s">
        <v>137</v>
      </c>
      <c r="U101" s="227"/>
      <c r="V101" s="227"/>
      <c r="W101" s="5"/>
      <c r="X101" s="225" t="s">
        <v>80</v>
      </c>
      <c r="Y101" s="225"/>
      <c r="Z101" s="225"/>
      <c r="AA101" s="225"/>
      <c r="AB101" s="225"/>
      <c r="AC101" s="225"/>
      <c r="AD101" s="225"/>
      <c r="AE101" s="225"/>
      <c r="AF101" s="225"/>
      <c r="AG101" s="225"/>
      <c r="AH101" s="225"/>
      <c r="AI101" s="225"/>
      <c r="AJ101" s="225"/>
      <c r="AK101" s="225"/>
      <c r="AL101" s="225"/>
      <c r="AM101" s="92"/>
      <c r="AN101" s="92"/>
      <c r="AO101" s="92"/>
      <c r="AP101" s="5"/>
    </row>
    <row r="102" spans="1:85" s="22" customFormat="1" ht="15" customHeight="1" x14ac:dyDescent="0.2">
      <c r="A102" s="139"/>
      <c r="B102" s="139"/>
      <c r="C102" s="139"/>
      <c r="D102" s="139"/>
      <c r="E102" s="139"/>
      <c r="F102" s="139"/>
      <c r="G102" s="139"/>
      <c r="H102" s="139"/>
      <c r="I102" s="139"/>
      <c r="J102" s="139"/>
      <c r="K102" s="139"/>
      <c r="L102" s="139"/>
      <c r="M102" s="139"/>
      <c r="N102" s="139"/>
      <c r="O102" s="139"/>
      <c r="P102" s="139"/>
      <c r="Q102" s="140"/>
      <c r="R102" s="140"/>
      <c r="S102" s="140"/>
      <c r="T102" s="140"/>
      <c r="U102" s="140"/>
      <c r="V102" s="140"/>
      <c r="W102" s="5"/>
      <c r="X102" s="139"/>
      <c r="Y102" s="139"/>
      <c r="Z102" s="139"/>
      <c r="AA102" s="139"/>
      <c r="AB102" s="139"/>
      <c r="AC102" s="139"/>
      <c r="AD102" s="139"/>
      <c r="AE102" s="139"/>
      <c r="AF102" s="139"/>
      <c r="AG102" s="139"/>
      <c r="AH102" s="139"/>
      <c r="AI102" s="139"/>
      <c r="AJ102" s="139"/>
      <c r="AK102" s="139"/>
      <c r="AL102" s="139"/>
      <c r="AM102" s="92"/>
      <c r="AN102" s="92"/>
      <c r="AO102" s="92"/>
      <c r="AP102" s="5"/>
    </row>
    <row r="103" spans="1:85" s="25" customFormat="1" ht="18" customHeight="1" x14ac:dyDescent="0.25">
      <c r="A103" s="223" t="s">
        <v>42</v>
      </c>
      <c r="B103" s="223"/>
      <c r="C103" s="223"/>
      <c r="D103" s="223"/>
      <c r="E103" s="223"/>
      <c r="F103" s="223"/>
      <c r="G103" s="133"/>
      <c r="H103" s="133"/>
      <c r="I103" s="133"/>
      <c r="J103" s="133"/>
      <c r="K103" s="133"/>
      <c r="L103" s="133"/>
      <c r="M103" s="133"/>
      <c r="N103" s="133"/>
      <c r="O103" s="133"/>
      <c r="P103" s="133"/>
      <c r="Q103" s="133"/>
      <c r="R103" s="133"/>
      <c r="S103" s="133"/>
      <c r="T103" s="133"/>
      <c r="U103" s="133"/>
      <c r="V103" s="133"/>
      <c r="W103" s="133"/>
      <c r="X103" s="133"/>
      <c r="Y103" s="133"/>
      <c r="Z103" s="133"/>
      <c r="AA103" s="133"/>
      <c r="AB103" s="133"/>
      <c r="AC103" s="133"/>
      <c r="AD103" s="133"/>
      <c r="AE103" s="133"/>
      <c r="AF103" s="133"/>
      <c r="AG103" s="133"/>
      <c r="AH103" s="133"/>
      <c r="AI103" s="133"/>
      <c r="AJ103" s="133"/>
      <c r="AK103" s="133"/>
      <c r="AL103" s="133"/>
      <c r="AM103" s="133"/>
      <c r="AN103" s="134"/>
      <c r="AO103" s="134"/>
      <c r="AP103" s="134"/>
      <c r="AS103" s="93"/>
      <c r="AT103" s="93"/>
      <c r="AU103" s="93"/>
      <c r="AV103" s="78"/>
      <c r="AW103" s="78"/>
      <c r="AX103" s="78"/>
      <c r="AY103" s="78"/>
      <c r="AZ103" s="78"/>
      <c r="BA103" s="78"/>
      <c r="BB103" s="78"/>
      <c r="BC103" s="78"/>
      <c r="BD103" s="94"/>
      <c r="BE103" s="94"/>
      <c r="BF103" s="94"/>
      <c r="BG103" s="94"/>
      <c r="BH103" s="93"/>
      <c r="BJ103" s="93"/>
      <c r="BK103" s="93"/>
      <c r="BL103" s="93"/>
      <c r="BM103" s="140"/>
      <c r="BN103" s="93"/>
      <c r="BO103" s="93"/>
      <c r="BP103" s="140"/>
      <c r="BQ103" s="93"/>
    </row>
    <row r="104" spans="1:85" ht="15.75" customHeight="1" x14ac:dyDescent="0.25">
      <c r="A104" s="135"/>
      <c r="B104" s="135"/>
      <c r="C104" s="135"/>
      <c r="D104" s="135"/>
      <c r="E104" s="135"/>
      <c r="F104" s="135"/>
      <c r="G104" s="135"/>
      <c r="H104" s="135"/>
      <c r="I104" s="135"/>
      <c r="J104" s="135"/>
      <c r="K104" s="135"/>
      <c r="L104" s="135"/>
      <c r="M104" s="135"/>
      <c r="N104" s="135"/>
      <c r="O104" s="135"/>
      <c r="P104" s="135"/>
      <c r="Q104" s="135"/>
      <c r="R104" s="135"/>
      <c r="S104" s="135"/>
      <c r="T104" s="135"/>
      <c r="U104" s="135"/>
      <c r="V104" s="135"/>
      <c r="W104" s="135"/>
      <c r="X104" s="135"/>
      <c r="Y104" s="135"/>
      <c r="Z104" s="135"/>
      <c r="AA104" s="135"/>
      <c r="AB104" s="135"/>
      <c r="AC104" s="135"/>
      <c r="AD104" s="135"/>
      <c r="AE104" s="135"/>
      <c r="AF104" s="135"/>
      <c r="AG104" s="135"/>
      <c r="AH104" s="135"/>
      <c r="AI104" s="135"/>
      <c r="AJ104" s="135"/>
      <c r="AK104" s="135"/>
      <c r="AL104" s="135"/>
      <c r="AM104" s="135"/>
      <c r="AN104" s="135"/>
      <c r="AO104" s="135"/>
      <c r="AP104" s="135"/>
    </row>
    <row r="105" spans="1:85" ht="15.75" customHeight="1" x14ac:dyDescent="0.25">
      <c r="A105" s="135"/>
      <c r="B105" s="135"/>
      <c r="C105" s="135"/>
      <c r="D105" s="135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5"/>
      <c r="AE105" s="135"/>
      <c r="AF105" s="135"/>
      <c r="AG105" s="135"/>
      <c r="AH105" s="135"/>
      <c r="AI105" s="135"/>
      <c r="AJ105" s="135"/>
      <c r="AK105" s="135"/>
      <c r="AL105" s="135"/>
      <c r="AM105" s="135"/>
      <c r="AN105" s="135"/>
      <c r="AO105" s="135"/>
      <c r="AP105" s="135"/>
    </row>
    <row r="106" spans="1:85" ht="15.75" customHeight="1" x14ac:dyDescent="0.25">
      <c r="A106" s="135"/>
      <c r="B106" s="135"/>
      <c r="C106" s="135"/>
      <c r="D106" s="135"/>
      <c r="E106" s="135"/>
      <c r="F106" s="135"/>
      <c r="G106" s="135"/>
      <c r="H106" s="135"/>
      <c r="I106" s="135"/>
      <c r="J106" s="135"/>
      <c r="K106" s="135"/>
      <c r="L106" s="135"/>
      <c r="M106" s="135"/>
      <c r="N106" s="135"/>
      <c r="O106" s="135"/>
      <c r="P106" s="135"/>
      <c r="Q106" s="135"/>
      <c r="R106" s="135"/>
      <c r="S106" s="135"/>
      <c r="T106" s="135"/>
      <c r="U106" s="135"/>
      <c r="V106" s="135"/>
      <c r="W106" s="135"/>
      <c r="X106" s="135"/>
      <c r="Y106" s="135"/>
      <c r="Z106" s="135"/>
      <c r="AA106" s="135"/>
      <c r="AB106" s="135"/>
      <c r="AC106" s="135"/>
      <c r="AD106" s="135"/>
      <c r="AE106" s="135"/>
      <c r="AF106" s="135"/>
      <c r="AG106" s="135"/>
      <c r="AH106" s="135"/>
      <c r="AI106" s="135"/>
      <c r="AJ106" s="135"/>
      <c r="AK106" s="135"/>
      <c r="AL106" s="135"/>
      <c r="AM106" s="135"/>
      <c r="AN106" s="135"/>
      <c r="AO106" s="135"/>
      <c r="AP106" s="135"/>
    </row>
    <row r="107" spans="1:85" ht="15.75" customHeight="1" x14ac:dyDescent="0.25">
      <c r="A107" s="135"/>
      <c r="B107" s="135"/>
      <c r="C107" s="135"/>
      <c r="D107" s="135"/>
      <c r="E107" s="135"/>
      <c r="F107" s="135"/>
      <c r="G107" s="135"/>
      <c r="H107" s="135"/>
      <c r="I107" s="135"/>
      <c r="J107" s="135"/>
      <c r="K107" s="135"/>
      <c r="L107" s="135"/>
      <c r="M107" s="135"/>
      <c r="N107" s="135"/>
      <c r="O107" s="135"/>
      <c r="P107" s="135"/>
      <c r="Q107" s="135"/>
      <c r="R107" s="135"/>
      <c r="S107" s="135"/>
      <c r="T107" s="135"/>
      <c r="U107" s="135"/>
      <c r="V107" s="135"/>
      <c r="W107" s="135"/>
      <c r="X107" s="135"/>
      <c r="Y107" s="135"/>
      <c r="Z107" s="135"/>
      <c r="AA107" s="135"/>
      <c r="AB107" s="135"/>
      <c r="AC107" s="135"/>
      <c r="AD107" s="135"/>
      <c r="AE107" s="135"/>
      <c r="AF107" s="135"/>
      <c r="AG107" s="135"/>
      <c r="AH107" s="135"/>
      <c r="AI107" s="135"/>
      <c r="AJ107" s="135"/>
      <c r="AK107" s="135"/>
      <c r="AL107" s="135"/>
      <c r="AM107" s="135"/>
      <c r="AN107" s="135"/>
      <c r="AO107" s="135"/>
      <c r="AP107" s="135"/>
    </row>
    <row r="108" spans="1:85" ht="15.75" customHeight="1" x14ac:dyDescent="0.25">
      <c r="A108" s="135"/>
      <c r="B108" s="135"/>
      <c r="C108" s="135"/>
      <c r="D108" s="135"/>
      <c r="E108" s="135"/>
      <c r="F108" s="135"/>
      <c r="G108" s="135"/>
      <c r="H108" s="135"/>
      <c r="I108" s="135"/>
      <c r="J108" s="135"/>
      <c r="K108" s="135"/>
      <c r="L108" s="135"/>
      <c r="M108" s="135"/>
      <c r="N108" s="135"/>
      <c r="O108" s="135"/>
      <c r="P108" s="135"/>
      <c r="Q108" s="135"/>
      <c r="R108" s="135"/>
      <c r="S108" s="135"/>
      <c r="T108" s="135"/>
      <c r="U108" s="135"/>
      <c r="V108" s="135"/>
      <c r="W108" s="135"/>
      <c r="X108" s="135"/>
      <c r="Y108" s="135"/>
      <c r="Z108" s="135"/>
      <c r="AA108" s="135"/>
      <c r="AB108" s="135"/>
      <c r="AC108" s="135"/>
      <c r="AD108" s="135"/>
      <c r="AE108" s="135"/>
      <c r="AF108" s="135"/>
      <c r="AG108" s="135"/>
      <c r="AH108" s="135"/>
      <c r="AI108" s="135"/>
      <c r="AJ108" s="135"/>
      <c r="AK108" s="135"/>
      <c r="AL108" s="135"/>
      <c r="AM108" s="135"/>
      <c r="AN108" s="135"/>
      <c r="AO108" s="135"/>
      <c r="AP108" s="135"/>
    </row>
    <row r="109" spans="1:85" ht="15.75" customHeight="1" x14ac:dyDescent="0.25">
      <c r="A109" s="135"/>
      <c r="B109" s="135"/>
      <c r="C109" s="135"/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5"/>
      <c r="S109" s="135"/>
      <c r="T109" s="135"/>
      <c r="U109" s="135"/>
      <c r="V109" s="135"/>
      <c r="W109" s="135"/>
      <c r="X109" s="135"/>
      <c r="Y109" s="135"/>
      <c r="Z109" s="135"/>
      <c r="AA109" s="135"/>
      <c r="AB109" s="135"/>
      <c r="AC109" s="135"/>
      <c r="AD109" s="135"/>
      <c r="AE109" s="135"/>
      <c r="AF109" s="135"/>
      <c r="AG109" s="135"/>
      <c r="AH109" s="135"/>
      <c r="AI109" s="135"/>
      <c r="AJ109" s="135"/>
      <c r="AK109" s="135"/>
      <c r="AL109" s="135"/>
      <c r="AM109" s="135"/>
      <c r="AN109" s="135"/>
      <c r="AO109" s="135"/>
      <c r="AP109" s="135"/>
    </row>
    <row r="110" spans="1:85" ht="15.75" customHeight="1" x14ac:dyDescent="0.25">
      <c r="A110" s="135"/>
      <c r="B110" s="135"/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135"/>
      <c r="N110" s="135"/>
      <c r="O110" s="135"/>
      <c r="P110" s="135"/>
      <c r="Q110" s="135"/>
      <c r="R110" s="135"/>
      <c r="S110" s="135"/>
      <c r="T110" s="135"/>
      <c r="U110" s="135"/>
      <c r="V110" s="135"/>
      <c r="W110" s="135"/>
      <c r="X110" s="135"/>
      <c r="Y110" s="135"/>
      <c r="Z110" s="135"/>
      <c r="AA110" s="135"/>
      <c r="AB110" s="135"/>
      <c r="AC110" s="135"/>
      <c r="AD110" s="135"/>
      <c r="AE110" s="135"/>
      <c r="AF110" s="135"/>
      <c r="AG110" s="135"/>
      <c r="AH110" s="135"/>
      <c r="AI110" s="135"/>
      <c r="AJ110" s="135"/>
      <c r="AK110" s="135"/>
      <c r="AL110" s="135"/>
      <c r="AM110" s="135"/>
      <c r="AN110" s="135"/>
      <c r="AO110" s="135"/>
      <c r="AP110" s="135"/>
    </row>
    <row r="111" spans="1:85" ht="15.75" customHeight="1" x14ac:dyDescent="0.25">
      <c r="A111" s="135"/>
      <c r="B111" s="135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5"/>
      <c r="Q111" s="135"/>
      <c r="R111" s="135"/>
      <c r="S111" s="135"/>
      <c r="T111" s="135"/>
      <c r="U111" s="135"/>
      <c r="V111" s="135"/>
      <c r="W111" s="135"/>
      <c r="X111" s="135"/>
      <c r="Y111" s="135"/>
      <c r="Z111" s="135"/>
      <c r="AA111" s="135"/>
      <c r="AB111" s="135"/>
      <c r="AC111" s="135"/>
      <c r="AD111" s="135"/>
      <c r="AE111" s="135"/>
      <c r="AF111" s="135"/>
      <c r="AG111" s="135"/>
      <c r="AH111" s="135"/>
      <c r="AI111" s="135"/>
      <c r="AJ111" s="135"/>
      <c r="AK111" s="135"/>
      <c r="AL111" s="135"/>
      <c r="AM111" s="135"/>
      <c r="AN111" s="135"/>
      <c r="AO111" s="135"/>
      <c r="AP111" s="135"/>
    </row>
    <row r="112" spans="1:85" ht="15.75" customHeight="1" x14ac:dyDescent="0.25">
      <c r="A112" s="135"/>
      <c r="B112" s="135"/>
      <c r="C112" s="135"/>
      <c r="D112" s="135"/>
      <c r="E112" s="135"/>
      <c r="F112" s="135"/>
      <c r="G112" s="135"/>
      <c r="H112" s="135"/>
      <c r="I112" s="135"/>
      <c r="J112" s="135"/>
      <c r="K112" s="135"/>
      <c r="L112" s="135"/>
      <c r="M112" s="135"/>
      <c r="N112" s="135"/>
      <c r="O112" s="135"/>
      <c r="P112" s="135"/>
      <c r="Q112" s="135"/>
      <c r="R112" s="135"/>
      <c r="S112" s="135"/>
      <c r="T112" s="135"/>
      <c r="U112" s="135"/>
      <c r="V112" s="135"/>
      <c r="W112" s="135"/>
      <c r="X112" s="135"/>
      <c r="Y112" s="135"/>
      <c r="Z112" s="135"/>
      <c r="AA112" s="135"/>
      <c r="AB112" s="135"/>
      <c r="AC112" s="135"/>
      <c r="AD112" s="135"/>
      <c r="AE112" s="135"/>
      <c r="AF112" s="135"/>
      <c r="AG112" s="135"/>
      <c r="AH112" s="135"/>
      <c r="AI112" s="135"/>
      <c r="AJ112" s="135"/>
      <c r="AK112" s="135"/>
      <c r="AL112" s="135"/>
      <c r="AM112" s="135"/>
      <c r="AN112" s="135"/>
      <c r="AO112" s="135"/>
      <c r="AP112" s="135"/>
    </row>
    <row r="113" spans="1:43" ht="15.75" customHeight="1" x14ac:dyDescent="0.25">
      <c r="A113" s="135"/>
      <c r="B113" s="135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5"/>
      <c r="U113" s="135"/>
      <c r="V113" s="135"/>
      <c r="W113" s="135"/>
      <c r="X113" s="135"/>
      <c r="Y113" s="135"/>
      <c r="Z113" s="135"/>
      <c r="AA113" s="135"/>
      <c r="AB113" s="135"/>
      <c r="AC113" s="135"/>
      <c r="AD113" s="135"/>
      <c r="AE113" s="135"/>
      <c r="AF113" s="135"/>
      <c r="AG113" s="135"/>
      <c r="AH113" s="135"/>
      <c r="AI113" s="135"/>
      <c r="AJ113" s="135"/>
      <c r="AK113" s="135"/>
      <c r="AL113" s="135"/>
      <c r="AM113" s="135"/>
      <c r="AN113" s="135"/>
      <c r="AO113" s="135"/>
      <c r="AP113" s="135"/>
    </row>
    <row r="114" spans="1:43" ht="15.75" customHeight="1" x14ac:dyDescent="0.25">
      <c r="A114" s="135"/>
      <c r="B114" s="135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5"/>
      <c r="S114" s="135"/>
      <c r="T114" s="135"/>
      <c r="U114" s="135"/>
      <c r="V114" s="135"/>
      <c r="W114" s="135"/>
      <c r="X114" s="135"/>
      <c r="Y114" s="135"/>
      <c r="Z114" s="135"/>
      <c r="AA114" s="135"/>
      <c r="AB114" s="135"/>
      <c r="AC114" s="135"/>
      <c r="AD114" s="135"/>
      <c r="AE114" s="135"/>
      <c r="AF114" s="135"/>
      <c r="AG114" s="135"/>
      <c r="AH114" s="135"/>
      <c r="AI114" s="135"/>
      <c r="AJ114" s="135"/>
      <c r="AK114" s="135"/>
      <c r="AL114" s="135"/>
      <c r="AM114" s="135"/>
      <c r="AN114" s="135"/>
      <c r="AO114" s="135"/>
      <c r="AP114" s="135"/>
    </row>
    <row r="115" spans="1:43" ht="15.75" customHeight="1" x14ac:dyDescent="0.25">
      <c r="A115" s="135"/>
      <c r="B115" s="135"/>
      <c r="C115" s="135"/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  <c r="U115" s="135"/>
      <c r="V115" s="135"/>
      <c r="W115" s="135"/>
      <c r="X115" s="135"/>
      <c r="Y115" s="135"/>
      <c r="Z115" s="135"/>
      <c r="AA115" s="135"/>
      <c r="AB115" s="135"/>
      <c r="AC115" s="135"/>
      <c r="AD115" s="135"/>
      <c r="AE115" s="135"/>
      <c r="AF115" s="135"/>
      <c r="AG115" s="135"/>
      <c r="AH115" s="135"/>
      <c r="AI115" s="135"/>
      <c r="AJ115" s="135"/>
      <c r="AK115" s="135"/>
      <c r="AL115" s="135"/>
      <c r="AM115" s="135"/>
      <c r="AN115" s="135"/>
      <c r="AO115" s="135"/>
      <c r="AP115" s="135"/>
    </row>
    <row r="116" spans="1:43" ht="15.75" customHeight="1" x14ac:dyDescent="0.25">
      <c r="A116" s="135"/>
      <c r="B116" s="135"/>
      <c r="C116" s="135"/>
      <c r="D116" s="135"/>
      <c r="E116" s="135"/>
      <c r="F116" s="135"/>
      <c r="G116" s="135"/>
      <c r="H116" s="135"/>
      <c r="I116" s="135"/>
      <c r="J116" s="135"/>
      <c r="K116" s="135"/>
      <c r="L116" s="135"/>
      <c r="M116" s="135"/>
      <c r="N116" s="135"/>
      <c r="O116" s="135"/>
      <c r="P116" s="135"/>
      <c r="Q116" s="135"/>
      <c r="R116" s="135"/>
      <c r="S116" s="135"/>
      <c r="T116" s="135"/>
      <c r="U116" s="135"/>
      <c r="V116" s="135"/>
      <c r="W116" s="135"/>
      <c r="X116" s="135"/>
      <c r="Y116" s="135"/>
      <c r="Z116" s="135"/>
      <c r="AA116" s="135"/>
      <c r="AB116" s="135"/>
      <c r="AC116" s="135"/>
      <c r="AD116" s="135"/>
      <c r="AE116" s="135"/>
      <c r="AF116" s="135"/>
      <c r="AG116" s="135"/>
      <c r="AH116" s="135"/>
      <c r="AI116" s="135"/>
      <c r="AJ116" s="135"/>
      <c r="AK116" s="135"/>
      <c r="AL116" s="135"/>
      <c r="AM116" s="135"/>
      <c r="AN116" s="135"/>
      <c r="AO116" s="135"/>
      <c r="AP116" s="135"/>
    </row>
    <row r="117" spans="1:43" ht="15.75" customHeight="1" x14ac:dyDescent="0.25">
      <c r="A117" s="135"/>
      <c r="B117" s="135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5"/>
      <c r="AE117" s="135"/>
      <c r="AF117" s="135"/>
      <c r="AG117" s="135"/>
      <c r="AH117" s="135"/>
      <c r="AI117" s="135"/>
      <c r="AJ117" s="135"/>
      <c r="AK117" s="135"/>
      <c r="AL117" s="135"/>
      <c r="AM117" s="135"/>
      <c r="AN117" s="135"/>
      <c r="AO117" s="135"/>
      <c r="AP117" s="135"/>
    </row>
    <row r="118" spans="1:43" ht="15.75" customHeight="1" x14ac:dyDescent="0.25">
      <c r="A118" s="135"/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5"/>
      <c r="S118" s="135"/>
      <c r="T118" s="135"/>
      <c r="U118" s="135"/>
      <c r="V118" s="135"/>
      <c r="W118" s="135"/>
      <c r="X118" s="135"/>
      <c r="Y118" s="135"/>
      <c r="Z118" s="135"/>
      <c r="AA118" s="135"/>
      <c r="AB118" s="135"/>
      <c r="AC118" s="135"/>
      <c r="AD118" s="135"/>
      <c r="AE118" s="135"/>
      <c r="AF118" s="135"/>
      <c r="AG118" s="135"/>
      <c r="AH118" s="135"/>
      <c r="AI118" s="135"/>
      <c r="AJ118" s="135"/>
      <c r="AK118" s="135"/>
      <c r="AL118" s="135"/>
      <c r="AM118" s="135"/>
      <c r="AN118" s="135"/>
      <c r="AO118" s="135"/>
      <c r="AP118" s="135"/>
    </row>
    <row r="119" spans="1:43" ht="15.75" customHeight="1" x14ac:dyDescent="0.25">
      <c r="A119" s="135"/>
      <c r="B119" s="135"/>
      <c r="C119" s="135"/>
      <c r="D119" s="135"/>
      <c r="E119" s="135"/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5"/>
    </row>
    <row r="120" spans="1:43" ht="15.75" customHeight="1" x14ac:dyDescent="0.25">
      <c r="A120" s="135"/>
      <c r="B120" s="135"/>
      <c r="C120" s="135"/>
      <c r="D120" s="135"/>
      <c r="E120" s="135"/>
      <c r="F120" s="135"/>
      <c r="G120" s="135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35"/>
      <c r="S120" s="135"/>
      <c r="T120" s="135"/>
      <c r="U120" s="135"/>
      <c r="V120" s="135"/>
      <c r="W120" s="135"/>
      <c r="X120" s="135"/>
      <c r="Y120" s="135"/>
      <c r="Z120" s="135"/>
      <c r="AA120" s="135"/>
      <c r="AB120" s="135"/>
      <c r="AC120" s="135"/>
      <c r="AD120" s="135"/>
      <c r="AE120" s="135"/>
      <c r="AF120" s="135"/>
      <c r="AG120" s="135"/>
      <c r="AH120" s="135"/>
      <c r="AI120" s="135"/>
      <c r="AJ120" s="135"/>
      <c r="AK120" s="135"/>
      <c r="AL120" s="135"/>
      <c r="AM120" s="135"/>
      <c r="AN120" s="135"/>
      <c r="AO120" s="135"/>
      <c r="AP120" s="135"/>
    </row>
    <row r="121" spans="1:43" ht="15.75" customHeight="1" x14ac:dyDescent="0.25">
      <c r="A121" s="135"/>
      <c r="B121" s="135"/>
      <c r="C121" s="135"/>
      <c r="D121" s="135"/>
      <c r="E121" s="135"/>
      <c r="F121" s="135"/>
      <c r="G121" s="135"/>
      <c r="H121" s="135"/>
      <c r="I121" s="135"/>
      <c r="J121" s="135"/>
      <c r="K121" s="135"/>
      <c r="L121" s="135"/>
      <c r="M121" s="135"/>
      <c r="N121" s="135"/>
      <c r="O121" s="135"/>
      <c r="P121" s="135"/>
      <c r="Q121" s="135"/>
      <c r="R121" s="135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</row>
    <row r="122" spans="1:43" ht="15.75" customHeight="1" x14ac:dyDescent="0.25">
      <c r="A122" s="135"/>
      <c r="B122" s="135"/>
      <c r="C122" s="135"/>
      <c r="D122" s="135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</row>
    <row r="123" spans="1:43" ht="15.75" customHeight="1" x14ac:dyDescent="0.25">
      <c r="A123" s="135"/>
      <c r="B123" s="135"/>
      <c r="C123" s="135"/>
      <c r="D123" s="135"/>
      <c r="E123" s="135"/>
      <c r="F123" s="135"/>
      <c r="G123" s="135"/>
      <c r="H123" s="135"/>
      <c r="I123" s="135"/>
      <c r="J123" s="135"/>
      <c r="K123" s="135"/>
      <c r="L123" s="135"/>
      <c r="M123" s="135"/>
      <c r="N123" s="135"/>
      <c r="O123" s="135"/>
      <c r="P123" s="135"/>
      <c r="Q123" s="135"/>
      <c r="R123" s="135"/>
      <c r="S123" s="135"/>
      <c r="T123" s="135"/>
      <c r="U123" s="135"/>
      <c r="V123" s="135"/>
      <c r="W123" s="135"/>
      <c r="X123" s="135"/>
      <c r="Y123" s="135"/>
      <c r="Z123" s="135"/>
      <c r="AA123" s="135"/>
      <c r="AB123" s="135"/>
      <c r="AC123" s="135"/>
      <c r="AD123" s="135"/>
      <c r="AE123" s="135"/>
      <c r="AF123" s="135"/>
      <c r="AG123" s="135"/>
      <c r="AH123" s="135"/>
      <c r="AI123" s="135"/>
      <c r="AJ123" s="135"/>
      <c r="AK123" s="135"/>
      <c r="AL123" s="135"/>
      <c r="AM123" s="135"/>
      <c r="AN123" s="135"/>
      <c r="AO123" s="135"/>
      <c r="AP123" s="135"/>
    </row>
    <row r="124" spans="1:43" ht="15.75" customHeight="1" x14ac:dyDescent="0.25">
      <c r="A124" s="135"/>
      <c r="B124" s="135"/>
      <c r="C124" s="135"/>
      <c r="D124" s="135"/>
      <c r="E124" s="135"/>
      <c r="F124" s="135"/>
      <c r="G124" s="135"/>
      <c r="H124" s="135"/>
      <c r="I124" s="135"/>
      <c r="J124" s="135"/>
      <c r="K124" s="135"/>
      <c r="L124" s="135"/>
      <c r="M124" s="135"/>
      <c r="N124" s="135"/>
      <c r="O124" s="135"/>
      <c r="P124" s="135"/>
      <c r="Q124" s="135"/>
      <c r="R124" s="135"/>
      <c r="S124" s="135"/>
      <c r="T124" s="135"/>
      <c r="U124" s="135"/>
      <c r="V124" s="135"/>
      <c r="W124" s="135"/>
      <c r="X124" s="135"/>
      <c r="Y124" s="135"/>
      <c r="Z124" s="135"/>
      <c r="AA124" s="135"/>
      <c r="AB124" s="135"/>
      <c r="AC124" s="135"/>
      <c r="AD124" s="135"/>
      <c r="AE124" s="135"/>
      <c r="AF124" s="135"/>
      <c r="AG124" s="135"/>
      <c r="AH124" s="135"/>
      <c r="AI124" s="135"/>
      <c r="AJ124" s="135"/>
      <c r="AK124" s="135"/>
      <c r="AL124" s="135"/>
      <c r="AM124" s="135"/>
      <c r="AN124" s="135"/>
      <c r="AO124" s="135"/>
      <c r="AP124" s="135"/>
    </row>
    <row r="125" spans="1:43" ht="15.75" customHeight="1" x14ac:dyDescent="0.25">
      <c r="A125" s="135"/>
      <c r="B125" s="135"/>
      <c r="C125" s="135"/>
      <c r="D125" s="135"/>
      <c r="E125" s="135"/>
      <c r="F125" s="135"/>
      <c r="G125" s="13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35"/>
      <c r="S125" s="135"/>
      <c r="T125" s="135"/>
      <c r="U125" s="135"/>
      <c r="V125" s="135"/>
      <c r="W125" s="135"/>
      <c r="X125" s="135"/>
      <c r="Y125" s="135"/>
      <c r="Z125" s="135"/>
      <c r="AA125" s="135"/>
      <c r="AB125" s="135"/>
      <c r="AC125" s="135"/>
      <c r="AD125" s="135"/>
      <c r="AE125" s="135"/>
      <c r="AF125" s="135"/>
      <c r="AG125" s="135"/>
      <c r="AH125" s="135"/>
      <c r="AI125" s="135"/>
      <c r="AJ125" s="135"/>
      <c r="AK125" s="135"/>
      <c r="AL125" s="135"/>
      <c r="AM125" s="135"/>
      <c r="AN125" s="135"/>
      <c r="AO125" s="135"/>
      <c r="AP125" s="135"/>
    </row>
    <row r="126" spans="1:43" ht="15.75" customHeight="1" x14ac:dyDescent="0.25">
      <c r="A126" s="135"/>
      <c r="B126" s="135"/>
      <c r="C126" s="135"/>
      <c r="D126" s="135"/>
      <c r="E126" s="135"/>
      <c r="F126" s="135"/>
      <c r="G126" s="135"/>
      <c r="H126" s="135"/>
      <c r="I126" s="135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5"/>
      <c r="AD126" s="135"/>
      <c r="AE126" s="135"/>
      <c r="AF126" s="135"/>
      <c r="AG126" s="135"/>
      <c r="AH126" s="135"/>
      <c r="AI126" s="135"/>
      <c r="AJ126" s="135"/>
      <c r="AK126" s="135"/>
      <c r="AL126" s="135"/>
      <c r="AM126" s="135"/>
      <c r="AN126" s="135"/>
      <c r="AO126" s="135"/>
      <c r="AP126" s="135"/>
    </row>
    <row r="127" spans="1:43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176" t="s">
        <v>83</v>
      </c>
      <c r="AN127" s="176"/>
      <c r="AO127" s="176"/>
      <c r="AP127" s="176"/>
      <c r="AQ127" s="49"/>
    </row>
    <row r="128" spans="1:43" ht="15.75" customHeight="1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49"/>
      <c r="AN128" s="49"/>
      <c r="AO128" s="49"/>
      <c r="AP128" s="49"/>
    </row>
    <row r="129" spans="1:44" ht="15.75" customHeight="1" x14ac:dyDescent="0.25">
      <c r="A129" s="49"/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</row>
    <row r="130" spans="1:44" ht="15.75" customHeight="1" x14ac:dyDescent="0.25">
      <c r="A130" s="49"/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</row>
    <row r="131" spans="1:44" ht="15.75" customHeight="1" x14ac:dyDescent="0.25">
      <c r="A131" s="49"/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</row>
    <row r="132" spans="1:44" ht="15.75" customHeight="1" x14ac:dyDescent="0.25">
      <c r="A132" s="49"/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</row>
    <row r="133" spans="1:44" ht="15.75" customHeight="1" x14ac:dyDescent="0.25">
      <c r="A133" s="49"/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</row>
    <row r="134" spans="1:44" ht="15.75" customHeight="1" x14ac:dyDescent="0.25">
      <c r="A134" s="49"/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</row>
    <row r="135" spans="1:44" ht="15.75" customHeight="1" x14ac:dyDescent="0.25">
      <c r="A135" s="49"/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</row>
    <row r="136" spans="1:44" ht="15.75" customHeight="1" x14ac:dyDescent="0.25">
      <c r="A136" s="49"/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</row>
    <row r="137" spans="1:44" ht="15.75" customHeight="1" x14ac:dyDescent="0.25">
      <c r="A137" s="49"/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</row>
    <row r="138" spans="1:44" ht="15.75" customHeight="1" x14ac:dyDescent="0.25">
      <c r="A138" s="49"/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  <c r="AL138" s="49"/>
      <c r="AM138" s="49"/>
      <c r="AN138" s="49"/>
      <c r="AO138" s="49"/>
      <c r="AP138" s="49"/>
    </row>
    <row r="139" spans="1:44" ht="15.75" customHeight="1" x14ac:dyDescent="0.25">
      <c r="A139" s="49"/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</row>
    <row r="140" spans="1:44" ht="15.75" customHeight="1" x14ac:dyDescent="0.25">
      <c r="A140" s="49"/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</row>
    <row r="141" spans="1:44" ht="15.75" customHeight="1" x14ac:dyDescent="0.25">
      <c r="A141" s="49"/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/>
    </row>
    <row r="142" spans="1:44" ht="15.75" customHeight="1" x14ac:dyDescent="0.25">
      <c r="A142" s="49"/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21"/>
      <c r="AR142" s="21"/>
    </row>
    <row r="143" spans="1:44" ht="15.75" customHeight="1" x14ac:dyDescent="0.25">
      <c r="A143" s="49"/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  <c r="AK143" s="49"/>
      <c r="AL143" s="49"/>
      <c r="AM143" s="49"/>
      <c r="AN143" s="49"/>
    </row>
    <row r="144" spans="1:44" ht="9.9499999999999993" customHeight="1" x14ac:dyDescent="0.25">
      <c r="AO144" s="21"/>
      <c r="AP144" s="21"/>
    </row>
  </sheetData>
  <sheetProtection algorithmName="SHA-512" hashValue="5SUFOsEvsUTLWtY23suTEAOUhQxPGZrJdUL/P3lzAeVDBfLbk+LCwzpBSxhZuTWGXsmiw2YvZfPdMWZwwlVBPw==" saltValue="DeovmNf2sMS8SXXU6Gr2gQ==" spinCount="100000" sheet="1" objects="1" scenarios="1" selectLockedCells="1"/>
  <mergeCells count="250">
    <mergeCell ref="AL94:AP95"/>
    <mergeCell ref="A96:G97"/>
    <mergeCell ref="H96:I97"/>
    <mergeCell ref="J96:N97"/>
    <mergeCell ref="S96:V97"/>
    <mergeCell ref="X96:Y97"/>
    <mergeCell ref="Z96:AD97"/>
    <mergeCell ref="A94:G95"/>
    <mergeCell ref="H94:I95"/>
    <mergeCell ref="J94:N95"/>
    <mergeCell ref="O92:P99"/>
    <mergeCell ref="S92:V93"/>
    <mergeCell ref="X92:Y93"/>
    <mergeCell ref="S94:V95"/>
    <mergeCell ref="X94:Y95"/>
    <mergeCell ref="Q98:W99"/>
    <mergeCell ref="X98:Y99"/>
    <mergeCell ref="H90:I91"/>
    <mergeCell ref="J90:N91"/>
    <mergeCell ref="O90:Q91"/>
    <mergeCell ref="R90:T91"/>
    <mergeCell ref="U90:Y91"/>
    <mergeCell ref="Z98:AD99"/>
    <mergeCell ref="AJ92:AK93"/>
    <mergeCell ref="AJ94:AK95"/>
    <mergeCell ref="Z94:AD95"/>
    <mergeCell ref="AE94:AI95"/>
    <mergeCell ref="A86:G87"/>
    <mergeCell ref="H86:I87"/>
    <mergeCell ref="J86:N87"/>
    <mergeCell ref="O86:Q87"/>
    <mergeCell ref="R86:T87"/>
    <mergeCell ref="U86:Y87"/>
    <mergeCell ref="Z86:AD87"/>
    <mergeCell ref="AE86:AK87"/>
    <mergeCell ref="A92:G93"/>
    <mergeCell ref="H92:I93"/>
    <mergeCell ref="J92:N93"/>
    <mergeCell ref="Z92:AD93"/>
    <mergeCell ref="AE92:AI93"/>
    <mergeCell ref="Z88:AD89"/>
    <mergeCell ref="AE88:AK89"/>
    <mergeCell ref="Z90:AD91"/>
    <mergeCell ref="AE90:AK91"/>
    <mergeCell ref="A88:G89"/>
    <mergeCell ref="H88:I89"/>
    <mergeCell ref="J88:N89"/>
    <mergeCell ref="O88:Q89"/>
    <mergeCell ref="R88:T89"/>
    <mergeCell ref="U88:Y89"/>
    <mergeCell ref="A90:G91"/>
    <mergeCell ref="J80:N81"/>
    <mergeCell ref="O80:Q81"/>
    <mergeCell ref="R80:T81"/>
    <mergeCell ref="U80:Y81"/>
    <mergeCell ref="Z80:AD81"/>
    <mergeCell ref="H81:I81"/>
    <mergeCell ref="AE80:AI81"/>
    <mergeCell ref="A84:G85"/>
    <mergeCell ref="H84:I85"/>
    <mergeCell ref="J84:N85"/>
    <mergeCell ref="O84:Q85"/>
    <mergeCell ref="R84:T85"/>
    <mergeCell ref="U84:Y85"/>
    <mergeCell ref="Z84:AD85"/>
    <mergeCell ref="AE84:AK85"/>
    <mergeCell ref="H82:I82"/>
    <mergeCell ref="H83:I83"/>
    <mergeCell ref="H1:AI2"/>
    <mergeCell ref="AK1:AP2"/>
    <mergeCell ref="A2:C2"/>
    <mergeCell ref="F16:N17"/>
    <mergeCell ref="W46:AD47"/>
    <mergeCell ref="I44:N47"/>
    <mergeCell ref="J34:L35"/>
    <mergeCell ref="A23:H24"/>
    <mergeCell ref="I23:N24"/>
    <mergeCell ref="W18:W19"/>
    <mergeCell ref="O16:T17"/>
    <mergeCell ref="A16:E17"/>
    <mergeCell ref="A1:C1"/>
    <mergeCell ref="E7:N7"/>
    <mergeCell ref="R7:U7"/>
    <mergeCell ref="W7:AA7"/>
    <mergeCell ref="D11:J11"/>
    <mergeCell ref="K11:P11"/>
    <mergeCell ref="A9:D9"/>
    <mergeCell ref="E9:N9"/>
    <mergeCell ref="Q9:V9"/>
    <mergeCell ref="W9:AC9"/>
    <mergeCell ref="AD9:AJ9"/>
    <mergeCell ref="AK9:AP9"/>
    <mergeCell ref="U16:AB17"/>
    <mergeCell ref="B36:D37"/>
    <mergeCell ref="O46:V47"/>
    <mergeCell ref="A18:A19"/>
    <mergeCell ref="B18:K19"/>
    <mergeCell ref="R18:V19"/>
    <mergeCell ref="U25:W26"/>
    <mergeCell ref="A63:O64"/>
    <mergeCell ref="P63:Y64"/>
    <mergeCell ref="A25:N26"/>
    <mergeCell ref="A61:O62"/>
    <mergeCell ref="J36:L37"/>
    <mergeCell ref="A44:H45"/>
    <mergeCell ref="Q29:Z29"/>
    <mergeCell ref="AA29:AP29"/>
    <mergeCell ref="A53:AP54"/>
    <mergeCell ref="D41:N41"/>
    <mergeCell ref="Q41:AA41"/>
    <mergeCell ref="AD41:AN41"/>
    <mergeCell ref="D32:I33"/>
    <mergeCell ref="S32:X33"/>
    <mergeCell ref="A30:L31"/>
    <mergeCell ref="AG32:AI32"/>
    <mergeCell ref="A46:H47"/>
    <mergeCell ref="A3:C3"/>
    <mergeCell ref="M32:O33"/>
    <mergeCell ref="F34:I35"/>
    <mergeCell ref="Y32:AC33"/>
    <mergeCell ref="A7:D7"/>
    <mergeCell ref="S11:U11"/>
    <mergeCell ref="Z11:AB11"/>
    <mergeCell ref="AE11:AG11"/>
    <mergeCell ref="AC16:AI17"/>
    <mergeCell ref="H4:AI4"/>
    <mergeCell ref="X25:AC26"/>
    <mergeCell ref="AD25:AL26"/>
    <mergeCell ref="AK18:AK19"/>
    <mergeCell ref="O15:AA15"/>
    <mergeCell ref="AB15:AP15"/>
    <mergeCell ref="Q18:Q19"/>
    <mergeCell ref="O23:W24"/>
    <mergeCell ref="X23:AC24"/>
    <mergeCell ref="X18:AE19"/>
    <mergeCell ref="AK16:AP17"/>
    <mergeCell ref="AM25:AP26"/>
    <mergeCell ref="AL18:AP19"/>
    <mergeCell ref="O22:AA22"/>
    <mergeCell ref="AC22:AP22"/>
    <mergeCell ref="AK3:AP3"/>
    <mergeCell ref="AK4:AL4"/>
    <mergeCell ref="AM4:AP4"/>
    <mergeCell ref="AD23:AL24"/>
    <mergeCell ref="AM23:AP24"/>
    <mergeCell ref="AJ46:AP47"/>
    <mergeCell ref="AJ34:AP37"/>
    <mergeCell ref="AJ44:AP45"/>
    <mergeCell ref="AK7:AP7"/>
    <mergeCell ref="AF7:AJ7"/>
    <mergeCell ref="P30:AG31"/>
    <mergeCell ref="AJ30:AP31"/>
    <mergeCell ref="P32:R32"/>
    <mergeCell ref="P33:R33"/>
    <mergeCell ref="AE46:AI47"/>
    <mergeCell ref="AE44:AI45"/>
    <mergeCell ref="AJ32:AP33"/>
    <mergeCell ref="AD32:AF33"/>
    <mergeCell ref="O25:T26"/>
    <mergeCell ref="H3:AI3"/>
    <mergeCell ref="L18:P19"/>
    <mergeCell ref="AF18:AJ19"/>
    <mergeCell ref="F36:I37"/>
    <mergeCell ref="Y36:AC37"/>
    <mergeCell ref="M36:R37"/>
    <mergeCell ref="AG33:AI33"/>
    <mergeCell ref="Q43:AA43"/>
    <mergeCell ref="B34:D35"/>
    <mergeCell ref="Y34:AC35"/>
    <mergeCell ref="M34:R35"/>
    <mergeCell ref="P61:Y62"/>
    <mergeCell ref="Z61:AH62"/>
    <mergeCell ref="AI61:AP62"/>
    <mergeCell ref="O44:V45"/>
    <mergeCell ref="W44:AD45"/>
    <mergeCell ref="A57:O58"/>
    <mergeCell ref="P57:Y58"/>
    <mergeCell ref="Z57:AH58"/>
    <mergeCell ref="P65:Y66"/>
    <mergeCell ref="A72:AP73"/>
    <mergeCell ref="AJ78:AK79"/>
    <mergeCell ref="A65:O66"/>
    <mergeCell ref="Z74:AD75"/>
    <mergeCell ref="A59:O60"/>
    <mergeCell ref="P59:Y60"/>
    <mergeCell ref="Z59:AH60"/>
    <mergeCell ref="AI59:AP60"/>
    <mergeCell ref="H76:I76"/>
    <mergeCell ref="J76:N77"/>
    <mergeCell ref="O76:Q77"/>
    <mergeCell ref="U76:Y77"/>
    <mergeCell ref="Z76:AD77"/>
    <mergeCell ref="AE76:AI77"/>
    <mergeCell ref="H77:I77"/>
    <mergeCell ref="A78:G79"/>
    <mergeCell ref="H78:I78"/>
    <mergeCell ref="J78:N79"/>
    <mergeCell ref="AM68:AP68"/>
    <mergeCell ref="AI63:AP64"/>
    <mergeCell ref="Z78:AD79"/>
    <mergeCell ref="AE78:AI79"/>
    <mergeCell ref="H79:I79"/>
    <mergeCell ref="A101:P101"/>
    <mergeCell ref="Q101:S101"/>
    <mergeCell ref="T101:V101"/>
    <mergeCell ref="X101:AL101"/>
    <mergeCell ref="AL86:AP87"/>
    <mergeCell ref="AL76:AP77"/>
    <mergeCell ref="AL92:AP93"/>
    <mergeCell ref="AL84:AP85"/>
    <mergeCell ref="AL78:AP79"/>
    <mergeCell ref="AL82:AP83"/>
    <mergeCell ref="A82:G83"/>
    <mergeCell ref="J82:N83"/>
    <mergeCell ref="O82:Q83"/>
    <mergeCell ref="R82:T83"/>
    <mergeCell ref="U82:Y83"/>
    <mergeCell ref="Z82:AD83"/>
    <mergeCell ref="AE82:AK83"/>
    <mergeCell ref="AL80:AP81"/>
    <mergeCell ref="AJ80:AK81"/>
    <mergeCell ref="O78:Q79"/>
    <mergeCell ref="R78:T79"/>
    <mergeCell ref="U78:Y79"/>
    <mergeCell ref="A80:G81"/>
    <mergeCell ref="H80:I80"/>
    <mergeCell ref="AM127:AP127"/>
    <mergeCell ref="S34:X35"/>
    <mergeCell ref="S36:X37"/>
    <mergeCell ref="AD34:AI35"/>
    <mergeCell ref="AD36:AI37"/>
    <mergeCell ref="AL88:AP89"/>
    <mergeCell ref="P49:AB49"/>
    <mergeCell ref="Q51:AA51"/>
    <mergeCell ref="AJ76:AK77"/>
    <mergeCell ref="AL90:AP91"/>
    <mergeCell ref="Z65:AH66"/>
    <mergeCell ref="AI65:AP66"/>
    <mergeCell ref="M39:AG39"/>
    <mergeCell ref="AI57:AP58"/>
    <mergeCell ref="A55:O56"/>
    <mergeCell ref="P55:Y56"/>
    <mergeCell ref="Z55:AH56"/>
    <mergeCell ref="AI55:AP56"/>
    <mergeCell ref="O74:T75"/>
    <mergeCell ref="U74:Y75"/>
    <mergeCell ref="Z63:AH64"/>
    <mergeCell ref="A76:G77"/>
    <mergeCell ref="A103:F103"/>
    <mergeCell ref="O68:AE68"/>
  </mergeCells>
  <conditionalFormatting sqref="AJ46:AP47">
    <cfRule type="cellIs" dxfId="14" priority="39" operator="notEqual">
      <formula>$K$11</formula>
    </cfRule>
  </conditionalFormatting>
  <conditionalFormatting sqref="CD51:CN51 AD41:AN42">
    <cfRule type="containsText" dxfId="13" priority="34" operator="containsText" text="Drift">
      <formula>NOT(ISERROR(SEARCH("Drift",AD41)))</formula>
    </cfRule>
  </conditionalFormatting>
  <conditionalFormatting sqref="X25">
    <cfRule type="cellIs" dxfId="12" priority="45" operator="lessThan">
      <formula>$K$11</formula>
    </cfRule>
  </conditionalFormatting>
  <conditionalFormatting sqref="D41:N41 Q41:AA41 Q51:AA51">
    <cfRule type="containsText" dxfId="11" priority="21" operator="containsText" text="Warning">
      <formula>NOT(ISERROR(SEARCH("Warning",D41)))</formula>
    </cfRule>
    <cfRule type="containsText" dxfId="10" priority="22" operator="containsText" text="Control">
      <formula>NOT(ISERROR(SEARCH("Control",D41)))</formula>
    </cfRule>
  </conditionalFormatting>
  <conditionalFormatting sqref="M34:R37 AD34:AI37">
    <cfRule type="cellIs" dxfId="9" priority="17" operator="between">
      <formula>-3.001</formula>
      <formula>-1000000</formula>
    </cfRule>
    <cfRule type="cellIs" dxfId="8" priority="18" operator="between">
      <formula>3.001</formula>
      <formula>1000000</formula>
    </cfRule>
  </conditionalFormatting>
  <conditionalFormatting sqref="Y34:AC37">
    <cfRule type="cellIs" dxfId="7" priority="13" operator="between">
      <formula>-8.99999</formula>
      <formula>-1000000</formula>
    </cfRule>
    <cfRule type="cellIs" dxfId="6" priority="14" operator="between">
      <formula>8.99999</formula>
      <formula>1000000</formula>
    </cfRule>
    <cfRule type="cellIs" dxfId="5" priority="15" operator="between">
      <formula>-4.99999</formula>
      <formula>-8.99999</formula>
    </cfRule>
    <cfRule type="cellIs" dxfId="4" priority="16" operator="between">
      <formula>4.99999</formula>
      <formula>8.99999</formula>
    </cfRule>
  </conditionalFormatting>
  <conditionalFormatting sqref="AE46">
    <cfRule type="cellIs" dxfId="3" priority="9" operator="between">
      <formula>-9.99999</formula>
      <formula>-1000000</formula>
    </cfRule>
    <cfRule type="cellIs" dxfId="2" priority="10" operator="between">
      <formula>9.99999</formula>
      <formula>1000000</formula>
    </cfRule>
    <cfRule type="cellIs" dxfId="1" priority="11" operator="between">
      <formula>-5.99999</formula>
      <formula>-9.99999</formula>
    </cfRule>
    <cfRule type="cellIs" dxfId="0" priority="12" operator="between">
      <formula>5.99999</formula>
      <formula>9.99999</formula>
    </cfRule>
  </conditionalFormatting>
  <pageMargins left="0.2" right="0.2" top="0.1" bottom="0.2" header="0" footer="0.25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save_file">
                <anchor moveWithCells="1" sizeWithCells="1">
                  <from>
                    <xdr:col>42</xdr:col>
                    <xdr:colOff>152400</xdr:colOff>
                    <xdr:row>0</xdr:row>
                    <xdr:rowOff>9525</xdr:rowOff>
                  </from>
                  <to>
                    <xdr:col>51</xdr:col>
                    <xdr:colOff>114300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AB47"/>
  <sheetViews>
    <sheetView showGridLines="0" workbookViewId="0">
      <selection activeCell="AE11" sqref="AE11"/>
    </sheetView>
  </sheetViews>
  <sheetFormatPr defaultColWidth="2.7109375" defaultRowHeight="14.25" x14ac:dyDescent="0.2"/>
  <cols>
    <col min="1" max="16384" width="2.7109375" style="22"/>
  </cols>
  <sheetData>
    <row r="1" spans="3:27" ht="15" thickBot="1" x14ac:dyDescent="0.25"/>
    <row r="2" spans="3:27" ht="15" thickTop="1" x14ac:dyDescent="0.2">
      <c r="C2" s="116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8"/>
    </row>
    <row r="3" spans="3:27" ht="15" x14ac:dyDescent="0.25">
      <c r="C3" s="483" t="s">
        <v>95</v>
      </c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4"/>
      <c r="R3" s="484"/>
      <c r="S3" s="484"/>
      <c r="T3" s="484"/>
      <c r="U3" s="484"/>
      <c r="V3" s="484"/>
      <c r="W3" s="484"/>
      <c r="X3" s="484"/>
      <c r="Y3" s="485"/>
    </row>
    <row r="4" spans="3:27" x14ac:dyDescent="0.2">
      <c r="C4" s="121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20"/>
    </row>
    <row r="5" spans="3:27" ht="15" x14ac:dyDescent="0.25">
      <c r="C5" s="121"/>
      <c r="D5" s="486" t="s">
        <v>94</v>
      </c>
      <c r="E5" s="486"/>
      <c r="F5" s="486"/>
      <c r="G5" s="486"/>
      <c r="H5" s="486"/>
      <c r="I5" s="486"/>
      <c r="J5" s="486"/>
      <c r="K5" s="486"/>
      <c r="L5" s="486"/>
      <c r="M5" s="486"/>
      <c r="N5" s="486"/>
      <c r="O5" s="486"/>
      <c r="P5" s="486"/>
      <c r="Q5" s="486"/>
      <c r="R5" s="486"/>
      <c r="S5" s="486"/>
      <c r="T5" s="486"/>
      <c r="U5" s="487"/>
      <c r="V5" s="489" t="str">
        <f>IF(ISTEXT('Check Sheet'!Y34),"--------",IF(AND(ISNUMBER('Check Sheet'!Y34),OR(AND('Check Sheet'!Y34&gt;-8.99999,'Check Sheet'!Y34&lt;-4.99999),AND('Check Sheet'!Y34&gt;4.99999,'Check Sheet'!Y34&lt;8.99999))),"Yes","No"))</f>
        <v>No</v>
      </c>
      <c r="W5" s="490"/>
      <c r="X5" s="491"/>
      <c r="Y5" s="122"/>
    </row>
    <row r="6" spans="3:27" x14ac:dyDescent="0.2">
      <c r="C6" s="121"/>
      <c r="D6" s="23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8"/>
      <c r="X6" s="128"/>
      <c r="Y6" s="122"/>
    </row>
    <row r="7" spans="3:27" ht="15" x14ac:dyDescent="0.25">
      <c r="C7" s="488" t="s">
        <v>96</v>
      </c>
      <c r="D7" s="486"/>
      <c r="E7" s="486"/>
      <c r="F7" s="486"/>
      <c r="G7" s="486"/>
      <c r="H7" s="486"/>
      <c r="I7" s="486"/>
      <c r="J7" s="486"/>
      <c r="K7" s="486"/>
      <c r="L7" s="486"/>
      <c r="M7" s="486"/>
      <c r="N7" s="486"/>
      <c r="O7" s="486"/>
      <c r="P7" s="486"/>
      <c r="Q7" s="486"/>
      <c r="R7" s="486"/>
      <c r="S7" s="486"/>
      <c r="T7" s="486"/>
      <c r="U7" s="487"/>
      <c r="V7" s="489" t="str">
        <f>IF(ISTEXT('Check Sheet'!Y36),"--------",IF(AND(ISNUMBER('Check Sheet'!Y36),OR(AND('Check Sheet'!Y36&gt;-8.99999,'Check Sheet'!Y36&lt;-4.99999),AND('Check Sheet'!Y36&gt;4.99999,'Check Sheet'!Y36&lt;8.99999))),"Yes","No"))</f>
        <v>No</v>
      </c>
      <c r="W7" s="490"/>
      <c r="X7" s="491"/>
      <c r="Y7" s="122"/>
    </row>
    <row r="8" spans="3:27" x14ac:dyDescent="0.2">
      <c r="C8" s="121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122"/>
    </row>
    <row r="9" spans="3:27" ht="15" x14ac:dyDescent="0.25">
      <c r="C9" s="121"/>
      <c r="D9" s="486" t="s">
        <v>97</v>
      </c>
      <c r="E9" s="486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486"/>
      <c r="T9" s="486"/>
      <c r="U9" s="487"/>
      <c r="V9" s="489" t="str">
        <f>IF(ISTEXT('Check Sheet'!Y34),"--------",IF(AND(ISNUMBER('Check Sheet'!Y34),OR('Check Sheet'!Y34&lt;-8.99999,'Check Sheet'!Y34&gt;8.99999)),"Yes","No"))</f>
        <v>Yes</v>
      </c>
      <c r="W9" s="490"/>
      <c r="X9" s="491"/>
      <c r="Y9" s="123"/>
      <c r="Z9" s="19"/>
    </row>
    <row r="10" spans="3:27" x14ac:dyDescent="0.2">
      <c r="C10" s="121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8"/>
      <c r="X10" s="128"/>
      <c r="Y10" s="123"/>
      <c r="Z10" s="19"/>
    </row>
    <row r="11" spans="3:27" ht="15" x14ac:dyDescent="0.25">
      <c r="C11" s="121"/>
      <c r="D11" s="486" t="s">
        <v>98</v>
      </c>
      <c r="E11" s="486"/>
      <c r="F11" s="486"/>
      <c r="G11" s="486"/>
      <c r="H11" s="486"/>
      <c r="I11" s="486"/>
      <c r="J11" s="486"/>
      <c r="K11" s="486"/>
      <c r="L11" s="486"/>
      <c r="M11" s="486"/>
      <c r="N11" s="486"/>
      <c r="O11" s="486"/>
      <c r="P11" s="486"/>
      <c r="Q11" s="486"/>
      <c r="R11" s="486"/>
      <c r="S11" s="486"/>
      <c r="T11" s="486"/>
      <c r="U11" s="487"/>
      <c r="V11" s="489" t="str">
        <f>IF(ISTEXT('Check Sheet'!Y36),"--------",IF(AND(ISNUMBER('Check Sheet'!Y36),OR('Check Sheet'!Y36&lt;-8.99999,'Check Sheet'!Y36&gt;8.99999)),"Yes","No"))</f>
        <v>No</v>
      </c>
      <c r="W11" s="490"/>
      <c r="X11" s="491"/>
      <c r="Y11" s="123"/>
      <c r="Z11" s="19"/>
    </row>
    <row r="12" spans="3:27" x14ac:dyDescent="0.2">
      <c r="C12" s="121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122"/>
    </row>
    <row r="13" spans="3:27" ht="15" x14ac:dyDescent="0.25">
      <c r="C13" s="121"/>
      <c r="D13" s="23"/>
      <c r="E13" s="486" t="s">
        <v>99</v>
      </c>
      <c r="F13" s="486"/>
      <c r="G13" s="486"/>
      <c r="H13" s="486"/>
      <c r="I13" s="486"/>
      <c r="J13" s="486"/>
      <c r="K13" s="486"/>
      <c r="L13" s="486"/>
      <c r="M13" s="486"/>
      <c r="N13" s="486"/>
      <c r="O13" s="486"/>
      <c r="P13" s="486"/>
      <c r="Q13" s="486"/>
      <c r="R13" s="486"/>
      <c r="S13" s="486"/>
      <c r="T13" s="486"/>
      <c r="U13" s="486"/>
      <c r="V13" s="489" t="str">
        <f>IF(AND(ISNUMBER('Check Sheet'!M34),OR('Check Sheet'!M34&lt;-3.001,'Check Sheet'!M34&gt;3.001)),"Yes",IF(AND(ISNUMBER('Check Sheet'!AD34),OR('Check Sheet'!AD34&lt;-3.001,'Check Sheet'!AD34&gt;3.001)),"Yes",IF(OR(ISNUMBER('Check Sheet'!M34),ISNUMBER('Check Sheet'!AD34)),"No","--------")))</f>
        <v>No</v>
      </c>
      <c r="W13" s="490"/>
      <c r="X13" s="491"/>
      <c r="Y13" s="122"/>
    </row>
    <row r="14" spans="3:27" x14ac:dyDescent="0.2">
      <c r="C14" s="121"/>
      <c r="D14" s="23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8"/>
      <c r="W14" s="128"/>
      <c r="X14" s="128"/>
      <c r="Y14" s="122"/>
    </row>
    <row r="15" spans="3:27" ht="15" x14ac:dyDescent="0.25">
      <c r="C15" s="121"/>
      <c r="D15" s="23"/>
      <c r="E15" s="486" t="s">
        <v>100</v>
      </c>
      <c r="F15" s="486"/>
      <c r="G15" s="486"/>
      <c r="H15" s="486"/>
      <c r="I15" s="486"/>
      <c r="J15" s="486"/>
      <c r="K15" s="486"/>
      <c r="L15" s="486"/>
      <c r="M15" s="486"/>
      <c r="N15" s="486"/>
      <c r="O15" s="486"/>
      <c r="P15" s="486"/>
      <c r="Q15" s="486"/>
      <c r="R15" s="486"/>
      <c r="S15" s="486"/>
      <c r="T15" s="486"/>
      <c r="U15" s="486"/>
      <c r="V15" s="489" t="str">
        <f>IF(AND(ISNUMBER('Check Sheet'!M36),OR('Check Sheet'!M36&lt;-3.001,'Check Sheet'!M36&gt;3.001)),"Yes",IF(AND(ISNUMBER('Check Sheet'!AD36),OR('Check Sheet'!AD36&lt;-3.001,'Check Sheet'!AD36&gt;3.001)),"Yes",IF(OR(ISNUMBER('Check Sheet'!M36),ISNUMBER('Check Sheet'!AD36)),"No","--------")))</f>
        <v>No</v>
      </c>
      <c r="W15" s="490"/>
      <c r="X15" s="491"/>
      <c r="Y15" s="122"/>
      <c r="Z15" s="23"/>
      <c r="AA15" s="23"/>
    </row>
    <row r="16" spans="3:27" x14ac:dyDescent="0.2">
      <c r="C16" s="121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122"/>
    </row>
    <row r="17" spans="3:28" ht="18.75" x14ac:dyDescent="0.35">
      <c r="C17" s="121"/>
      <c r="D17" s="486" t="s">
        <v>101</v>
      </c>
      <c r="E17" s="486"/>
      <c r="F17" s="486"/>
      <c r="G17" s="486"/>
      <c r="H17" s="486"/>
      <c r="I17" s="486"/>
      <c r="J17" s="486"/>
      <c r="K17" s="486"/>
      <c r="L17" s="486"/>
      <c r="M17" s="486"/>
      <c r="N17" s="486"/>
      <c r="O17" s="486"/>
      <c r="P17" s="486"/>
      <c r="Q17" s="486"/>
      <c r="R17" s="486"/>
      <c r="S17" s="486"/>
      <c r="T17" s="486"/>
      <c r="U17" s="487"/>
      <c r="V17" s="489" t="str">
        <f>IF(ISTEXT('Check Sheet'!AE46),"--------",IF(AND(ISNUMBER('Check Sheet'!AE46),OR(AND('Check Sheet'!AE46&gt;-9.99999,'Check Sheet'!AE46&lt;-5.99999),AND('Check Sheet'!AE46&gt;5.99999,'Check Sheet'!AE46&lt;9.99999))),"Yes","No"))</f>
        <v>No</v>
      </c>
      <c r="W17" s="490"/>
      <c r="X17" s="491"/>
      <c r="Y17" s="122"/>
    </row>
    <row r="18" spans="3:28" x14ac:dyDescent="0.2">
      <c r="C18" s="121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122"/>
    </row>
    <row r="19" spans="3:28" ht="18.75" x14ac:dyDescent="0.35">
      <c r="C19" s="121"/>
      <c r="D19" s="486" t="s">
        <v>102</v>
      </c>
      <c r="E19" s="486"/>
      <c r="F19" s="486"/>
      <c r="G19" s="486"/>
      <c r="H19" s="486"/>
      <c r="I19" s="486"/>
      <c r="J19" s="486"/>
      <c r="K19" s="486"/>
      <c r="L19" s="486"/>
      <c r="M19" s="486"/>
      <c r="N19" s="486"/>
      <c r="O19" s="486"/>
      <c r="P19" s="486"/>
      <c r="Q19" s="486"/>
      <c r="R19" s="486"/>
      <c r="S19" s="486"/>
      <c r="T19" s="486"/>
      <c r="U19" s="487"/>
      <c r="V19" s="489" t="str">
        <f>IF(ISTEXT('Check Sheet'!AE46),"--------",IF(AND(ISNUMBER('Check Sheet'!AE46),OR('Check Sheet'!AE46&lt;-9.99999,'Check Sheet'!AE46&gt;9.99999)),"Yes","No"))</f>
        <v>No</v>
      </c>
      <c r="W19" s="490"/>
      <c r="X19" s="491"/>
      <c r="Y19" s="122"/>
    </row>
    <row r="20" spans="3:28" ht="15" thickBot="1" x14ac:dyDescent="0.25">
      <c r="C20" s="124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6"/>
    </row>
    <row r="21" spans="3:28" ht="15" thickTop="1" x14ac:dyDescent="0.2"/>
    <row r="22" spans="3:28" ht="18" customHeight="1" x14ac:dyDescent="0.2">
      <c r="C22" s="492" t="s">
        <v>93</v>
      </c>
      <c r="D22" s="492"/>
      <c r="E22" s="492"/>
      <c r="F22" s="492"/>
      <c r="G22" s="492"/>
      <c r="H22" s="492"/>
      <c r="I22" s="492"/>
      <c r="J22" s="492"/>
      <c r="K22" s="492"/>
      <c r="L22" s="492"/>
      <c r="M22" s="492"/>
      <c r="N22" s="492"/>
      <c r="O22" s="492"/>
      <c r="P22" s="492"/>
      <c r="Q22" s="492"/>
      <c r="R22" s="492"/>
      <c r="S22" s="492"/>
      <c r="T22" s="492"/>
      <c r="U22" s="492"/>
      <c r="V22" s="492"/>
      <c r="W22" s="492"/>
      <c r="X22" s="492"/>
      <c r="Y22" s="492"/>
      <c r="Z22" s="492"/>
      <c r="AA22" s="492"/>
      <c r="AB22" s="492"/>
    </row>
    <row r="34" spans="1:25" x14ac:dyDescent="0.2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</row>
    <row r="35" spans="1:25" ht="15" x14ac:dyDescent="0.25">
      <c r="A35" s="23"/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23"/>
      <c r="Y35" s="23"/>
    </row>
    <row r="36" spans="1:25" x14ac:dyDescent="0.2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</row>
    <row r="37" spans="1:25" x14ac:dyDescent="0.2">
      <c r="A37" s="23"/>
      <c r="B37" s="23"/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23"/>
      <c r="X37" s="23"/>
      <c r="Y37" s="23"/>
    </row>
    <row r="38" spans="1:25" x14ac:dyDescent="0.2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</row>
    <row r="39" spans="1:25" x14ac:dyDescent="0.2">
      <c r="A39" s="23"/>
      <c r="B39" s="23"/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23"/>
      <c r="Y39" s="23"/>
    </row>
    <row r="40" spans="1:25" x14ac:dyDescent="0.2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</row>
    <row r="41" spans="1:25" x14ac:dyDescent="0.2">
      <c r="A41" s="23"/>
      <c r="B41" s="23"/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23"/>
      <c r="X41" s="23"/>
      <c r="Y41" s="23"/>
    </row>
    <row r="42" spans="1:25" x14ac:dyDescent="0.2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</row>
    <row r="43" spans="1:25" x14ac:dyDescent="0.2">
      <c r="A43" s="23"/>
      <c r="B43" s="23"/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23"/>
      <c r="X43" s="23"/>
      <c r="Y43" s="23"/>
    </row>
    <row r="44" spans="1:25" x14ac:dyDescent="0.2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</row>
    <row r="45" spans="1:25" x14ac:dyDescent="0.2">
      <c r="A45" s="23"/>
      <c r="B45" s="23"/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23"/>
      <c r="X45" s="23"/>
      <c r="Y45" s="23"/>
    </row>
    <row r="46" spans="1:25" x14ac:dyDescent="0.2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</row>
    <row r="47" spans="1:25" x14ac:dyDescent="0.2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</row>
  </sheetData>
  <sheetProtection password="CDF6" sheet="1" objects="1" scenarios="1" selectLockedCells="1" selectUnlockedCells="1"/>
  <mergeCells count="18">
    <mergeCell ref="C22:AB22"/>
    <mergeCell ref="V5:X5"/>
    <mergeCell ref="V9:X9"/>
    <mergeCell ref="E13:U13"/>
    <mergeCell ref="V13:X13"/>
    <mergeCell ref="V7:X7"/>
    <mergeCell ref="D19:U19"/>
    <mergeCell ref="E15:U15"/>
    <mergeCell ref="V15:X15"/>
    <mergeCell ref="D17:U17"/>
    <mergeCell ref="V17:X17"/>
    <mergeCell ref="V19:X19"/>
    <mergeCell ref="C3:Y3"/>
    <mergeCell ref="D9:U9"/>
    <mergeCell ref="D5:U5"/>
    <mergeCell ref="C7:U7"/>
    <mergeCell ref="D11:U11"/>
    <mergeCell ref="V11:X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Check Sheet</vt:lpstr>
      <vt:lpstr>Limit Verification</vt:lpstr>
      <vt:lpstr>Sheet3</vt:lpstr>
    </vt:vector>
  </TitlesOfParts>
  <Company>NYSDEC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 Desk</dc:creator>
  <cp:lastModifiedBy>Spicer</cp:lastModifiedBy>
  <cp:lastPrinted>2015-12-30T21:07:08Z</cp:lastPrinted>
  <dcterms:created xsi:type="dcterms:W3CDTF">2013-03-07T15:14:24Z</dcterms:created>
  <dcterms:modified xsi:type="dcterms:W3CDTF">2020-01-13T15:41:45Z</dcterms:modified>
</cp:coreProperties>
</file>